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2.xml" ContentType="application/vnd.ms-office.chartstyle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xr="http://schemas.microsoft.com/office/spreadsheetml/2014/revision" xmlns:xr10="http://schemas.microsoft.com/office/spreadsheetml/2016/revision10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unk1="http://schemas.microsoft.com/office/spreadsheetml/2010/11/main" mc:Ignorable="unk1 xr xr6 xr10 xr2">
  <s:fileVersion appName="xl" lastEdited="7" lowestEdited="7" rupBuild="20417"/>
  <s:workbookPr defaultThemeVersion="166925"/>
  <s:bookViews>
    <s:workbookView xr2:uid="{C9D4FBFF-B1D5-4CA1-9881-095452159691}" xWindow="0" yWindow="0" windowWidth="23040" windowHeight="9060" activeTab="1"/>
  </s:bookViews>
  <s:sheets>
    <s:sheet name="Трудозатраты" sheetId="2" state="visible" r:id="rId1"/>
    <s:sheet name="Настройки" sheetId="3" state="visible" r:id="rId2"/>
    <s:sheet name="Аналитика" sheetId="5" state="visible" r:id="rId3"/>
  </s:sheets>
  <s:calcPr calcId="191029"/>
  <s:extLst>
    <s:ext uri="{140A7094-0E35-4892-8432-C4D2E57EDEB5}">
      <unk1:workbookPr chartTrackingRefBase="1"/>
    </s:ext>
  </s:extLst>
</s:workbook>
</file>

<file path=xl/sharedStrings.xml><?xml version="1.0" encoding="utf-8"?>
<s:sst xmlns:s="http://schemas.openxmlformats.org/spreadsheetml/2006/main" count="2237" uniqueCount="131">
  <s:si>
    <s:t>Драйверы трудозатрат</s:t>
  </s:si>
  <s:si>
    <s:t>Норматив</s:t>
  </s:si>
  <s:si>
    <s:t>Роли</s:t>
  </s:si>
  <s:si>
    <s:t>PM</s:t>
  </s:si>
  <s:si>
    <s:t>DS Senior</s:t>
  </s:si>
  <s:si>
    <s:t>DS middle</s:t>
  </s:si>
  <s:si>
    <s:t>Arch</s:t>
  </s:si>
  <s:si>
    <s:t>BI</s:t>
  </s:si>
  <s:si>
    <s:t>Data Engi.</s:t>
  </s:si>
  <s:si>
    <s:t>Ops (Dev/ML)</s:t>
  </s:si>
  <s:si>
    <s:t>Business Analust*</s:t>
  </s:si>
  <s:si>
    <s:t>Результат</s:t>
  </s:si>
  <s:si>
    <s:t>1.	Оценка времени на исследование и анализ</s:t>
  </s:si>
  <s:si>
    <s:t>3. Разработка стратегии сбора данных</s:t>
  </s:si>
  <s:si>
    <s:t>a. Валидация табличных данных</s:t>
  </s:si>
  <s:si>
    <s:t>b. Валидация неструктурированных данных: Фото и видео материал, звуковые дорожки</s:t>
  </s:si>
  <s:si>
    <s:t>c. Валидация временных рядов: телеметрия</s:t>
  </s:si>
  <s:si>
    <s:t>Этап 3: Моделирование</s:t>
  </s:si>
  <s:si>
    <s:t>Этап 4: Пуско-наладочные испытания и оптимизация</s:t>
  </s:si>
  <s:si>
    <s:t>Этап 5: Обучение и Документация</s:t>
  </s:si>
  <s:si>
    <s:t>Этап 6: Завершение проекта</s:t>
  </s:si>
  <s:si>
    <s:t>Итого традозатраты в ч/д:</s:t>
  </s:si>
  <s:si>
    <s:t>Итого стоимость проекта:</s:t>
  </s:si>
  <s:si>
    <s:t>Руб, без НДС.</s:t>
  </s:si>
  <s:si>
    <s:t>Простой</s:t>
  </s:si>
  <s:si>
    <s:t>Средний</s:t>
  </s:si>
  <s:si>
    <s:t>Сложный</s:t>
  </s:si>
  <s:si>
    <s:t>Балы</s:t>
  </s:si>
  <s:si>
    <s:t>Коэф.</s:t>
  </s:si>
  <s:si>
    <s:t>2. Определение источников данных в инфраструктуре и внешних источниках</s:t>
  </s:si>
  <s:si>
    <s:t>&gt;=10 сложных это х20</s:t>
  </s:si>
  <s:si>
    <s:t>Уровень сложности</s:t>
  </s:si>
  <s:si>
    <s:t>4. Разработка функции сбора (извлечения)</s:t>
  </s:si>
  <s:si>
    <s:t>6. Разработка и обучение моделей</s:t>
  </s:si>
  <s:si>
    <s:t xml:space="preserve">7. Операционализация моделей </s:t>
  </s:si>
  <s:si>
    <s:t>8. Оценка производительности и тестирование моделей</s:t>
  </s:si>
  <s:si>
    <s:t>&gt;1 простых Х1</s:t>
  </s:si>
  <s:si>
    <s:t>&gt;3 простых Х1</s:t>
  </s:si>
  <s:si>
    <s:t>1 средняя х2</s:t>
  </s:si>
  <s:si>
    <s:t>1 сложная х4,3</s:t>
  </s:si>
  <s:si>
    <s:t>1 сложная х10</s:t>
  </s:si>
  <s:si>
    <s:t>Уровень сложности проекта</s:t>
  </s:si>
  <s:si>
    <s:t>10. Тестирование на предмет производительности и стабильности</s:t>
  </s:si>
  <s:si>
    <s:t>11. Оптимизация и настройка</s:t>
  </s:si>
  <s:si>
    <s:t>12. Написание пользовательских инструкций и инструкций по развертыванию</s:t>
  </s:si>
  <s:si>
    <s:t>13. Обучение заказчика</s:t>
  </s:si>
  <s:si>
    <s:t>14. Документирование проекта</s:t>
  </s:si>
  <s:si>
    <s:t>15. Оценка и анализ результатов</s:t>
  </s:si>
  <s:si>
    <s:t>16. Передача проекта заказчику</s:t>
  </s:si>
  <s:si>
    <s:t>5. Очистка, подготовка и инженерия данных (инженерия, выявления аномалий, очистка, устранение ошибок и выбросов, заполнение пропущенных значений, стандартизаци и категоризация) данных для последующего моделирования</s:t>
  </s:si>
  <s:si>
    <s:t>х</s:t>
  </s:si>
  <s:si>
    <s:t>Огранич</s:t>
  </s:si>
  <s:si>
    <s:t>&gt;1 простых Х1; 2 простых х1,3</s:t>
  </s:si>
  <s:si>
    <s:t>&gt;1 простых Х1, 2 простых х1,3</s:t>
  </s:si>
  <s:si>
    <s:t>Этап 2: Сбор и анализ данных</s:t>
  </s:si>
  <s:si>
    <s:t>Проанализировать драйвер и заполнить поле для оценки</s:t>
  </s:si>
  <s:si>
    <s:t>1. Оценка времени на исследование и анализ</s:t>
  </s:si>
  <s:si>
    <s:t>8. Оценка производительности и тестирование моделей (отладка)</s:t>
  </s:si>
  <s:si>
    <s:t>9. Функционально и/или интеграционное тестирование. Описать этапы тестирования, испытаний и сдача работ.</s:t>
  </s:si>
  <s:si>
    <s:t>11. Устранение выявленных замечаний, оптимизация и настройка модели ML</s:t>
  </s:si>
  <s:si>
    <s:t>13. Подготовка и обучение заказчика</s:t>
  </s:si>
  <s:si>
    <s:t>Этап 1: Подготовка и планирование</s:t>
  </s:si>
  <s:si>
    <s:t>Трудозатраты Ч/Д. (Расчитывается, как Норматив * коэффициент драйверов)</s:t>
  </s:si>
  <s:si>
    <s:t>Документы</s:t>
  </s:si>
  <s:si>
    <s:t>Детальный календарный план-график проекта
Отчёт об анализе</s:t>
  </s:si>
  <s:si>
    <s:t>Карта источников данных
Описательная статистика по источникам данных
Метрики (отчёт) качества данных (полнота, достоверность …)
Протокол по готовности моделирования данных</s:t>
  </s:si>
  <s:si>
    <s:t>Внутреннее заключение о готовности тестирования модели
Описание модельного сервиса</s:t>
  </s:si>
  <s:si>
    <s:t>Сценарий тестирования
Протокол тестирования
Реестр ошибок тестирования</s:t>
  </s:si>
  <s:si>
    <s:t xml:space="preserve">Пользовательские инструкции
</s:t>
  </s:si>
  <s:si>
    <s:t xml:space="preserve">Протокол сдачи проекта
</s:t>
  </s:si>
  <s:si>
    <s:t>Определены ресурсы
Матрица рисков
Определена типы моделей и алгоритмы ML
Определены технические характеристики и стеки технологий для ML, мощьности, среда хранилища данных. 
Определен набор инструментов для управления моделями машинного обучения и платформа для размети/управления данными, система для управления версионностью, среда разработки и фреймворки</s:t>
  </s:si>
  <s:si>
    <s:t>Получены данные от заказчика
Проанализирован объём и характеристики исходных данных
Оценено качество достаточности и валидации данных
Проведен анализ исходных данных на предмет их качества разметки 
Определены источники данных в инфраструктуре и способы их сбора
Скрипты захвата, сбора и валидации и трансформации исходных данных 
Ссылки на репозитарий, объектное хранилище, БД.</s:t>
  </s:si>
  <s:si>
    <s:t>Обученные модели, способные использовать данные для прогнозирования или классификации в соответствии с целями проекта.
Результаты оценки производительности, включая точность, чувствительность и специфичность моделей, а также результаты тестирования на валидационных данных.
Улучшенные гиперпараметры, наборы данных и настроенные параметры моделей для оптимизации их работы.
Настроены WorkFlow процессы и модельные сервисы.</s:t>
  </s:si>
  <s:si>
    <s:t>Программа ПСИ.
Проведены тестовые пуско-наладочные испытания.
Проведен анализ производительности и эффективности обученных моделей.
Измерение скорости работы системы. Метрики производительности и оценка стабильности.
Выявлены недостатки моделей ML.
Корректировка параметров системы и моделей для достижения оптимальных результатов.
Улучшена производительность и эффективность работы системы в рамках SLA.
Протокол испытаний с реестром замечаний.</s:t>
  </s:si>
  <s:si>
    <s:t>План и программа обучения.
Материалы обучения.
Написаны пользовательских инструкций и руководств по развертыванию, которые описывают, как использовать систему.
Обучение заказчика, включая проведение тренингов и семинаров, согласно программе обучения.
Документирование проекта в соответствии с договором и этапами.</s:t>
  </s:si>
  <s:si>
    <s:t>Дана оценка и анализ результатов, включая сравнение фактических результатов с исходными целями и задачами проекта.
Проекта передан заказчику, включая передачу всех документации согласно договору и этапов проекта. 
Протокол закрытия проекта.</s:t>
  </s:si>
  <s:si>
    <s:r>
      <s:t>Выделение вычислительных мощностей (~ core64, RAM 80GB, ssd 5 TB, 2*</s:t>
    </s:r>
    <s:r>
      <s:rPr>
        <s:rFont val="Calibri"/>
        <s:family val="2"/>
        <s:color theme="8" tint="-0.5"/>
        <s:sz val="11"/>
      </s:rPr>
      <s:t>GPU nVidia A100/V100</s:t>
    </s:r>
    <s:r>
      <s:rPr>
        <s:rFont val="Calibri"/>
        <s:charset val="204"/>
        <s:family val="2"/>
        <s:color theme="8" tint="-0.5"/>
        <s:sz val="11"/>
      </s:rPr>
      <s:t>)</s:t>
    </s:r>
  </s:si>
  <s:si>
    <s:t xml:space="preserve">Подготовка среды: MLOps, minio </s:t>
  </s:si>
  <s:si>
    <s:t>Подготовка среды разработки hadoop, hive, spark, AirFlow, NiFi/kafka/RabbitMQ/Redis, JupyterLab</s:t>
  </s:si>
  <s:si>
    <s:t>Настройка коннекторов к доменам источников данных (два главных источник – SQL Server + Фед ресурс)</s:t>
  </s:si>
  <s:si>
    <s:t>Интеграция всех компонентов среды</s:t>
  </s:si>
  <s:si>
    <s:t>Факт досупности выч.мощности
Развернутая и готовая среда
Коннектеры настроены</s:t>
  </s:si>
  <s:si>
    <s:t>Этап 0. Подготовка инфраструктуры</s:t>
  </s:si>
  <s:si>
    <s:t>Трудозатраты в разрезе Этапов и их соотношение в проекте</s:t>
  </s:si>
  <s:si>
    <s:t>Итого:</s:t>
  </s:si>
  <s:si>
    <s:t>Ч/Д на этап</s:t>
  </s:si>
  <s:si>
    <s:t>Соотношение к проекту</s:t>
  </s:si>
  <s:si>
    <s:t>Этапы</s:t>
  </s:si>
  <s:si>
    <s:t>Фазы</s:t>
  </s:si>
  <s:si>
    <s:t>Ч/Д</s:t>
  </s:si>
  <s:si>
    <s:t>Х</s:t>
  </s:si>
  <s:si>
    <s:t>17. Гарантийные обязательства</s:t>
  </s:si>
  <s:si>
    <s:t>Количество, тип и сложность модели. Указать количество в разрезе их сложности.</s:t>
  </s:si>
  <s:si>
    <s:t>Уровень сложности проекта. Указать уровень сложности.</s:t>
  </s:si>
  <s:si>
    <s:t>Определяется по 
количеству таблиц и их трудоёмкости. Указать уровень сложности.</s:t>
  </s:si>
  <s:si>
    <s:t>Определяется по объёму и разрешению, ширине видеопотока (битрейт), FPS, глубине цвета, скорости обработки видео. Указать уровень сложности.</s:t>
  </s:si>
  <s:si>
    <s:t>Уровень сложности определяется по количеству тегов телеметрии и плотности сигнала. Указать уровень сложности.</s:t>
  </s:si>
  <s:si>
    <s:t>Определяется по KPI. Указать уровень сложности.</s:t>
  </s:si>
  <s:si>
    <s:t>Определяется нормативными и юридическими процедурами. Указать уровень сложности.</s:t>
  </s:si>
  <s:si>
    <s:t>В зависимости от условий договора. Указать количество лет гарантии. Проставить 0, если не применимо.</s:t>
  </s:si>
  <s:si>
    <s:t>Количество в разрезе их сложности</s:t>
  </s:si>
  <s:si>
    <s:t>ч/ч</s:t>
  </s:si>
  <s:si>
    <s:t>ч/д</s:t>
  </s:si>
  <s:si>
    <s:t>Грейд</s:t>
  </s:si>
  <s:si>
    <s:t>Внутренние ставки по грейдам на 2024</s:t>
  </s:si>
  <s:si>
    <s:t>К2</s:t>
  </s:si>
  <s:si>
    <s:t>К3</s:t>
  </s:si>
  <s:si>
    <s:t>К4</s:t>
  </s:si>
  <s:si>
    <s:t>К1</s:t>
  </s:si>
  <s:si>
    <s:t>К5</s:t>
  </s:si>
  <s:si>
    <s:t>Data Engineer</s:t>
  </s:si>
  <s:si>
    <s:t>BusinAnalust</s:t>
  </s:si>
  <s:si>
    <s:t>Указать уровень сложности, где:
Простой - инфраструктура полностью на своих серверах и ПО уже готово к работе
Средний - Необходимо поддерживать ПО у заказчика или необходимо донастроить ПО на своих серверах
Сложный - необходимо установить и поддерживать ПО у заказчика</s:t>
  </s:si>
  <s:si>
    <s:t>Руководство администратора</s:t>
  </s:si>
  <s:si>
    <s:t>Бизнес домены данных</s:t>
  </s:si>
  <s:si>
    <s:t>Бизнес домены данных. Указать количество в разрезе их сложности.</s:t>
  </s:si>
  <s:si>
    <s:t>По количеству WorkFlow процессов. Указать количество в разрезе их сложности.</s:t>
  </s:si>
  <s:si>
    <s:t>Количество и сложность источников данных (API, РестФулл, …). Указать количество в разрезе их сложности.</s:t>
  </s:si>
  <s:si>
    <s:t>Количество и сложность источников данных</s:t>
  </s:si>
  <s:si>
    <s:t>(API, РестФулл, …)</s:t>
  </s:si>
  <s:si>
    <s:t>WorkFlow процессы. Указать уровень сложности.</s:t>
  </s:si>
  <s:si>
    <s:t>Количество дней тестирования</s:t>
  </s:si>
  <s:si>
    <s:t>WorkFlow процессы</s:t>
  </s:si>
  <s:si>
    <s:t>Количество и сложность модели</s:t>
  </s:si>
  <s:si>
    <s:t>Количество и сложность модели. Указать количество в разрезе их сложности.</s:t>
  </s:si>
  <s:si>
    <s:t>Бизнес Домен - область бизнеса, которая предлагается в рамках исследования.  В ERP это модули программы. Например: транзакции, трафик, блок видеоданных, видеоряд, количество технологических переделов, виды продукции.</s:t>
  </s:si>
  <s:si>
    <s:t>1. Оценка времени на исследование и анализ. Бизнес домен</s:t>
  </s:si>
  <s:si>
    <s:t>Внешние ставки по грейдам на 2024 (Письмо от Рубановой от 22.03.24)</s:t>
  </s:si>
  <s:si>
    <s:t>Внутренние ставки по грейдам на 2025</s:t>
  </s:si>
  <s:si>
    <s:t>Внешние ставки по грейдам на 2025 (+ 10% от 2024 года)</s:t>
  </s:si>
  <s:si>
    <s:t>Внешние ставки по грейдам на 2025 (+ 5% от 2024 года)</s:t>
  </s:si>
</s:sst>
</file>

<file path=xl/styles.xml><?xml version="1.0" encoding="utf-8"?>
<s:styleSheet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mc:Ignorable="x14ac x16r2 xr">
  <s:numFmts count="2">
    <s:numFmt numFmtId="43" formatCode="_-* #,##0.00\ _₽_-;\-* #,##0.00\ _₽_-;_-* &quot;-&quot;??\ _₽_-;_-@_-"/>
    <s:numFmt numFmtId="164" formatCode="_-* #,##0.0\ _₽_-;\-* #,##0.0\ _₽_-;_-* &quot;-&quot;??\ _₽_-;_-@_-"/>
  </s:numFmts>
  <s:fonts x14ac:knownFonts="1" count="18"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family val="2"/>
      <s:sz val="11"/>
      <s:scheme val="minor"/>
    </s:font>
    <s:font>
      <s:name val="Calibri"/>
      <s:family val="2"/>
      <s:b val="1"/>
      <s:sz val="12"/>
    </s:font>
    <s:font>
      <s:name val="Calibri"/>
      <s:charset val="204"/>
      <s:family val="2"/>
      <s:sz val="11"/>
      <s:scheme val="minor"/>
    </s:font>
    <s:font>
      <s:name val="Daytona"/>
      <s:family val="2"/>
      <s:color rgb="FF1F4E79"/>
      <s:sz val="10"/>
    </s:font>
    <s:font>
      <s:name val="Daytona"/>
      <s:family val="2"/>
      <s:sz val="10"/>
    </s:font>
    <s:font>
      <s:name val="Calibri"/>
      <s:charset val="204"/>
      <s:family val="2"/>
      <s:b val="1"/>
      <s:color theme="0"/>
      <s:sz val="14"/>
    </s:font>
    <s:font>
      <s:name val="Calibri"/>
      <s:charset val="204"/>
      <s:family val="2"/>
      <s:color theme="1"/>
      <s:sz val="14"/>
      <s:scheme val="minor"/>
    </s:font>
    <s:font>
      <s:name val="Calibri"/>
      <s:charset val="204"/>
      <s:family val="2"/>
      <s:b val="1"/>
      <s:color theme="1"/>
      <s:sz val="14"/>
      <s:scheme val="minor"/>
    </s:font>
    <s:font>
      <s:name val="Calibri"/>
      <s:family val="2"/>
      <s:color theme="8" tint="-0.5"/>
      <s:sz val="11"/>
    </s:font>
    <s:font>
      <s:name val="Calibri"/>
      <s:charset val="204"/>
      <s:family val="2"/>
      <s:color theme="8" tint="-0.5"/>
      <s:sz val="11"/>
    </s:font>
    <s:font>
      <s:name val="Calibri"/>
      <s:charset val="204"/>
      <s:family val="2"/>
      <s:b val="1"/>
      <s:color theme="0"/>
      <s:sz val="12"/>
      <s:scheme val="minor"/>
    </s:font>
    <s:font>
      <s:name val="Calibri"/>
      <s:charset val="204"/>
      <s:family val="2"/>
      <s:b val="1"/>
      <s:color theme="0"/>
      <s:sz val="12"/>
    </s:font>
    <s:font>
      <s:name val="Calibri"/>
      <s:charset val="204"/>
      <s:family val="2"/>
      <s:sz val="12"/>
      <s:scheme val="minor"/>
    </s:font>
    <s:font>
      <s:name val="Calibri"/>
      <s:charset val="204"/>
      <s:family val="2"/>
      <s:b val="1"/>
      <s:sz val="12"/>
    </s:font>
    <s:font>
      <s:name val="Calibri"/>
      <s:charset val="204"/>
      <s:family val="2"/>
      <s:b val="1"/>
      <s:color theme="0"/>
      <s:sz val="11"/>
      <s:scheme val="minor"/>
    </s:font>
  </s:fonts>
  <s:fills count="15">
    <s:fill>
      <s:patternFill patternType="none"/>
    </s:fill>
    <s:fill>
      <s:patternFill patternType="gray125"/>
    </s:fill>
    <s:fill>
      <s:patternFill patternType="solid">
        <s:fgColor theme="9" tint="0.4"/>
        <s:bgColor indexed="64"/>
      </s:patternFill>
    </s:fill>
    <s:fill>
      <s:patternFill patternType="solid">
        <s:fgColor rgb="FF92D050"/>
        <s:bgColor indexed="64"/>
      </s:patternFill>
    </s:fill>
    <s:fill>
      <s:patternFill patternType="solid">
        <s:fgColor theme="0"/>
        <s:bgColor indexed="64"/>
      </s:patternFill>
    </s:fill>
    <s:fill>
      <s:patternFill patternType="solid">
        <s:fgColor theme="7" tint="0.6"/>
        <s:bgColor indexed="64"/>
      </s:patternFill>
    </s:fill>
    <s:fill>
      <s:patternFill patternType="solid">
        <s:fgColor rgb="FF92D050"/>
        <s:bgColor rgb="FF3465A4"/>
      </s:patternFill>
    </s:fill>
    <s:fill>
      <s:patternFill patternType="solid">
        <s:fgColor theme="7" tint="0.4"/>
        <s:bgColor rgb="FF3465A4"/>
      </s:patternFill>
    </s:fill>
    <s:fill>
      <s:patternFill patternType="solid">
        <s:fgColor theme="7" tint="-0.25"/>
        <s:bgColor rgb="FF3465A4"/>
      </s:patternFill>
    </s:fill>
    <s:fill>
      <s:patternFill patternType="solid">
        <s:fgColor theme="7" tint="-0.25"/>
        <s:bgColor indexed="64"/>
      </s:patternFill>
    </s:fill>
    <s:fill>
      <s:patternFill patternType="solid">
        <s:fgColor theme="9" tint="0.8"/>
        <s:bgColor indexed="64"/>
      </s:patternFill>
    </s:fill>
    <s:fill>
      <s:patternFill patternType="solid">
        <s:fgColor rgb="FFFFFF00"/>
        <s:bgColor indexed="64"/>
      </s:patternFill>
    </s:fill>
    <s:fill>
      <s:patternFill patternType="solid">
        <s:fgColor rgb="FFFFFF00"/>
        <s:bgColor rgb="FF3465A4"/>
      </s:patternFill>
    </s:fill>
    <s:fill>
      <s:patternFill patternType="solid">
        <s:fgColor theme="8" tint="0.8"/>
        <s:bgColor indexed="64"/>
      </s:patternFill>
    </s:fill>
    <s:fill>
      <s:patternFill patternType="solid">
        <s:fgColor theme="9" tint="0.6"/>
        <s:bgColor indexed="64"/>
      </s:patternFill>
    </s:fill>
  </s:fills>
  <s:borders count="32">
    <s:border>
      <s:left/>
      <s:right/>
      <s:top/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thin">
        <s:color auto="1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indexed="64"/>
      </s:bottom>
      <s:diagonal/>
    </s:border>
    <s:border>
      <s:left style="thin">
        <s:color auto="1"/>
      </s:left>
      <s:right/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/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thin">
        <s:color auto="1"/>
      </s:top>
      <s:bottom style="medium">
        <s:color indexed="64"/>
      </s:bottom>
      <s:diagonal/>
    </s:border>
    <s:border>
      <s:left/>
      <s:right/>
      <s:top style="thin">
        <s:color auto="1"/>
      </s:top>
      <s:bottom/>
      <s:diagonal/>
    </s:border>
    <s:border>
      <s:left style="medium">
        <s:color indexed="64"/>
      </s:left>
      <s:right/>
      <s:top style="medium">
        <s:color indexed="64"/>
      </s:top>
      <s:bottom style="thin">
        <s:color auto="1"/>
      </s:bottom>
      <s:diagonal/>
    </s:border>
    <s:border>
      <s:left style="medium">
        <s:color indexed="64"/>
      </s:left>
      <s:right/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/>
      <s:diagonal/>
    </s:border>
    <s:border>
      <s:left style="thin">
        <s:color auto="1"/>
      </s:left>
      <s:right/>
      <s:top style="medium">
        <s:color indexed="64"/>
      </s:top>
      <s:bottom/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/>
      <s:diagonal/>
    </s:border>
  </s:borders>
  <s:cellStyleXfs count="2">
    <s:xf numFmtId="0" fontId="0" fillId="0" borderId="0"/>
    <s:xf numFmtId="43" fontId="1" fillId="0" borderId="0" applyFont="0" applyFill="0" applyBorder="0" applyAlignment="0" applyProtection="0"/>
  </s:cellStyleXfs>
  <s:cellXfs count="122">
    <s:xf numFmtId="0" fontId="0" fillId="0" borderId="0" xfId="0"/>
    <s:xf numFmtId="0" fontId="0" fillId="0" borderId="0" xfId="0" applyAlignment="1"/>
    <s:xf numFmtId="0" fontId="0" fillId="0" borderId="0" xfId="0" applyAlignment="1">
      <s:alignment wrapText="1" mc:Ignorable="vyd"/>
    </s:xf>
    <s:xf numFmtId="0" fontId="4" fillId="0" borderId="1" xfId="0" applyFont="1" applyFill="1" applyBorder="1" applyAlignment="1">
      <s:alignment horizontal="center" vertical="top" textRotation="90" mc:Ignorable="vyd"/>
    </s:xf>
    <s:xf numFmtId="0" fontId="0" fillId="0" borderId="1" xfId="0" applyBorder="1"/>
    <s:xf numFmtId="0" fontId="0" fillId="0" borderId="1" xfId="0" applyBorder="1" applyAlignment="1">
      <s:alignment wrapText="1" mc:Ignorable="vyd"/>
    </s:xf>
    <s:xf numFmtId="0" fontId="2" fillId="0" borderId="1" xfId="0" applyFont="1" applyBorder="1"/>
    <s:xf numFmtId="0" fontId="0" fillId="0" borderId="1" xfId="0" applyFont="1" applyBorder="1"/>
    <s:xf numFmtId="2" fontId="0" fillId="0" borderId="1" xfId="0" applyNumberFormat="1" applyBorder="1"/>
    <s:xf numFmtId="2" fontId="0" fillId="0" borderId="1" xfId="0" applyNumberFormat="1" applyFont="1" applyBorder="1"/>
    <s:xf numFmtId="2" fontId="2" fillId="0" borderId="1" xfId="0" applyNumberFormat="1" applyFont="1" applyBorder="1"/>
    <s:xf numFmtId="0" fontId="0" fillId="0" borderId="0" xfId="0" applyBorder="1"/>
    <s:xf numFmtId="0" fontId="0" fillId="0" borderId="0" xfId="0" applyFill="1" applyBorder="1" applyAlignment="1">
      <s:alignment horizontal="center" mc:Ignorable="vyd"/>
    </s:xf>
    <s:xf numFmtId="0" fontId="3" fillId="0" borderId="0" xfId="0" applyFont="1" applyFill="1" applyBorder="1" applyAlignment="1">
      <s:alignment horizontal="center" vertical="center" mc:Ignorable="vyd"/>
    </s:xf>
    <s:xf numFmtId="0" fontId="4" fillId="0" borderId="0" xfId="0" applyFont="1" applyFill="1" applyBorder="1" applyAlignment="1">
      <s:alignment horizontal="center" vertical="center" mc:Ignorable="vyd"/>
    </s:xf>
    <s:xf numFmtId="0" fontId="4" fillId="0" borderId="0" xfId="0" applyFont="1" applyFill="1" applyBorder="1" applyAlignment="1">
      <s:alignment horizontal="center" vertical="top" textRotation="90" mc:Ignorable="vyd"/>
    </s:xf>
    <s:xf numFmtId="0" fontId="14" fillId="6" borderId="1" xfId="0" applyFont="1" applyFill="1" applyBorder="1" applyAlignment="1">
      <s:alignment horizontal="center" vertical="center" wrapText="1" mc:Ignorable="vyd"/>
    </s:xf>
    <s:xf numFmtId="0" fontId="14" fillId="3" borderId="1" xfId="0" applyFont="1" applyFill="1" applyBorder="1" applyAlignment="1">
      <s:alignment horizontal="center" vertical="center" wrapText="1" mc:Ignorable="vyd"/>
    </s:xf>
    <s:xf numFmtId="0" fontId="0" fillId="0" borderId="1" xfId="0" applyBorder="1" applyAlignment="1">
      <s:alignment horizontal="center" vertical="center" mc:Ignorable="vyd"/>
    </s:xf>
    <s:xf numFmtId="0" fontId="0" fillId="0" borderId="1" xfId="0" applyFill="1" applyBorder="1" applyAlignment="1">
      <s:alignment horizontal="center" vertical="center" mc:Ignorable="vyd"/>
    </s:xf>
    <s:xf numFmtId="2" fontId="0" fillId="4" borderId="1" xfId="0" applyNumberFormat="1" applyFill="1" applyBorder="1" applyAlignment="1">
      <s:alignment horizontal="center" mc:Ignorable="vyd"/>
    </s:xf>
    <s:xf numFmtId="2" fontId="0" fillId="4" borderId="1" xfId="0" applyNumberFormat="1" applyFont="1" applyFill="1" applyBorder="1" applyAlignment="1">
      <s:alignment horizontal="center" mc:Ignorable="vyd"/>
    </s:xf>
    <s:xf numFmtId="0" fontId="0" fillId="10" borderId="9" xfId="0" applyFill="1" applyBorder="1" applyAlignment="1"/>
    <s:xf numFmtId="0" fontId="0" fillId="10" borderId="10" xfId="0" applyFill="1" applyBorder="1"/>
    <s:xf numFmtId="0" fontId="0" fillId="10" borderId="12" xfId="0" applyFill="1" applyBorder="1"/>
    <s:xf numFmtId="0" fontId="0" fillId="10" borderId="15" xfId="0" applyFill="1" applyBorder="1"/>
    <s:xf numFmtId="0" fontId="0" fillId="10" borderId="2" xfId="0" applyFill="1" applyBorder="1"/>
    <s:xf numFmtId="43" fontId="0" fillId="10" borderId="2" xfId="1" applyFont="1" applyFill="1" applyBorder="1"/>
    <s:xf numFmtId="43" fontId="0" fillId="10" borderId="16" xfId="1" applyFont="1" applyFill="1" applyBorder="1"/>
    <s:xf numFmtId="0" fontId="0" fillId="10" borderId="11" xfId="0" applyFill="1" applyBorder="1" applyAlignment="1"/>
    <s:xf numFmtId="43" fontId="0" fillId="10" borderId="12" xfId="0" applyNumberFormat="1" applyFill="1" applyBorder="1"/>
    <s:xf numFmtId="43" fontId="0" fillId="9" borderId="1" xfId="1" applyFont="1" applyFill="1" applyBorder="1"/>
    <s:xf numFmtId="43" fontId="0" fillId="11" borderId="11" xfId="1" applyFont="1" applyFill="1" applyBorder="1"/>
    <s:xf numFmtId="43" fontId="0" fillId="11" borderId="13" xfId="1" applyFont="1" applyFill="1" applyBorder="1"/>
    <s:xf numFmtId="0" fontId="0" fillId="0" borderId="1" xfId="0" applyFill="1" applyBorder="1"/>
    <s:xf numFmtId="0" fontId="5" fillId="0" borderId="1" xfId="0" applyFont="1" applyFill="1" applyBorder="1" applyAlignment="1">
      <s:alignment horizontal="center" vertical="center" wrapText="1" mc:Ignorable="vyd"/>
    </s:xf>
    <s:xf numFmtId="0" fontId="7" fillId="0" borderId="1" xfId="0" applyFont="1" applyFill="1" applyBorder="1" applyAlignment="1">
      <s:alignment horizontal="center" vertical="center" wrapText="1" mc:Ignorable="vyd"/>
    </s:xf>
    <s:xf numFmtId="0" fontId="15" fillId="11" borderId="1" xfId="0" applyFont="1" applyFill="1" applyBorder="1" applyAlignment="1">
      <s:alignment horizontal="center" vertical="center" wrapText="1" mc:Ignorable="vyd"/>
    </s:xf>
    <s:xf numFmtId="0" fontId="5" fillId="11" borderId="1" xfId="0" applyFont="1" applyFill="1" applyBorder="1" applyAlignment="1">
      <s:alignment horizontal="center" vertical="center" wrapText="1" mc:Ignorable="vyd"/>
    </s:xf>
    <s:xf numFmtId="0" fontId="0" fillId="0" borderId="0" xfId="0" applyFill="1" applyBorder="1"/>
    <s:xf numFmtId="0" fontId="16" fillId="12" borderId="1" xfId="0" applyFont="1" applyFill="1" applyBorder="1" applyAlignment="1">
      <s:alignment horizontal="center" vertical="center" wrapText="1" mc:Ignorable="vyd"/>
    </s:xf>
    <s:xf numFmtId="0" fontId="13" fillId="3" borderId="1" xfId="0" applyFont="1" applyFill="1" applyBorder="1" applyAlignment="1">
      <s:alignment horizontal="center" vertical="center" wrapText="1" mc:Ignorable="vyd"/>
    </s:xf>
    <s:xf numFmtId="0" fontId="0" fillId="0" borderId="12" xfId="0" applyBorder="1"/>
    <s:xf numFmtId="0" fontId="2" fillId="0" borderId="14" xfId="0" applyFont="1" applyBorder="1"/>
    <s:xf numFmtId="0" fontId="2" fillId="0" borderId="18" xfId="0" applyFont="1" applyBorder="1"/>
    <s:xf numFmtId="0" fontId="0" fillId="0" borderId="5" xfId="0" applyBorder="1"/>
    <s:xf numFmtId="0" fontId="0" fillId="0" borderId="19" xfId="0" applyBorder="1"/>
    <s:xf numFmtId="0" fontId="0" fillId="0" borderId="20" xfId="0" applyBorder="1" applyAlignment="1">
      <s:alignment wrapText="1" mc:Ignorable="vyd"/>
    </s:xf>
    <s:xf numFmtId="0" fontId="0" fillId="0" borderId="21" xfId="0" applyBorder="1" applyAlignment="1">
      <s:alignment wrapText="1" mc:Ignorable="vyd"/>
    </s:xf>
    <s:xf numFmtId="0" fontId="0" fillId="0" borderId="4" xfId="0" applyBorder="1" applyAlignment="1">
      <s:alignment wrapText="1" mc:Ignorable="vyd"/>
    </s:xf>
    <s:xf numFmtId="10" fontId="0" fillId="0" borderId="7" xfId="0" applyNumberFormat="1" applyBorder="1"/>
    <s:xf numFmtId="10" fontId="0" fillId="0" borderId="3" xfId="0" applyNumberFormat="1" applyBorder="1"/>
    <s:xf numFmtId="10" fontId="0" fillId="0" borderId="22" xfId="0" applyNumberFormat="1" applyBorder="1"/>
    <s:xf numFmtId="0" fontId="0" fillId="0" borderId="17" xfId="0" applyBorder="1" applyAlignment="1">
      <s:alignment wrapText="1" mc:Ignorable="vyd"/>
    </s:xf>
    <s:xf numFmtId="0" fontId="0" fillId="0" borderId="23" xfId="0" applyBorder="1"/>
    <s:xf numFmtId="0" fontId="0" fillId="0" borderId="24" xfId="0" applyBorder="1"/>
    <s:xf numFmtId="0" fontId="2" fillId="0" borderId="25" xfId="0" applyFont="1" applyBorder="1"/>
    <s:xf numFmtId="0" fontId="6" fillId="13" borderId="1" xfId="0" applyFont="1" applyFill="1" applyBorder="1" applyAlignment="1">
      <s:alignment vertical="center" wrapText="1" mc:Ignorable="vyd"/>
    </s:xf>
    <s:xf numFmtId="0" fontId="0" fillId="13" borderId="1" xfId="0" applyFill="1" applyBorder="1"/>
    <s:xf numFmtId="0" fontId="5" fillId="13" borderId="1" xfId="0" applyFont="1" applyFill="1" applyBorder="1" applyAlignment="1">
      <s:alignment horizontal="center" vertical="center" wrapText="1" mc:Ignorable="vyd"/>
    </s:xf>
    <s:xf numFmtId="0" fontId="7" fillId="13" borderId="1" xfId="0" applyFont="1" applyFill="1" applyBorder="1" applyAlignment="1">
      <s:alignment horizontal="center" vertical="center" wrapText="1" mc:Ignorable="vyd"/>
    </s:xf>
    <s:xf numFmtId="0" fontId="0" fillId="13" borderId="1" xfId="0" applyFill="1" applyBorder="1" applyAlignment="1">
      <s:alignment wrapText="1" mc:Ignorable="vyd"/>
    </s:xf>
    <s:xf numFmtId="0" fontId="0" fillId="13" borderId="1" xfId="0" applyFill="1" applyBorder="1" applyAlignment="1">
      <s:alignment horizontal="center" vertical="center" mc:Ignorable="vyd"/>
    </s:xf>
    <s:xf numFmtId="2" fontId="10" fillId="5" borderId="1" xfId="0" applyNumberFormat="1" applyFont="1" applyFill="1" applyBorder="1"/>
    <s:xf numFmtId="0" fontId="13" fillId="0" borderId="1" xfId="0" applyFont="1" applyFill="1" applyBorder="1" applyAlignment="1">
      <s:alignment horizontal="center" vertical="center" mc:Ignorable="vyd"/>
    </s:xf>
    <s:xf numFmtId="0" fontId="13" fillId="0" borderId="1" xfId="0" applyFont="1" applyFill="1" applyBorder="1" applyAlignment="1">
      <s:alignment horizontal="center" vertical="center" wrapText="1" mc:Ignorable="vyd"/>
    </s:xf>
    <s:xf numFmtId="0" fontId="15" fillId="0" borderId="1" xfId="0" applyFont="1" applyFill="1" applyBorder="1" applyAlignment="1">
      <s:alignment horizontal="center" vertical="center" wrapText="1" mc:Ignorable="vyd"/>
    </s:xf>
    <s:xf numFmtId="0" fontId="14" fillId="0" borderId="1" xfId="0" applyFont="1" applyFill="1" applyBorder="1" applyAlignment="1">
      <s:alignment horizontal="center" vertical="center" mc:Ignorable="vyd"/>
    </s:xf>
    <s:xf numFmtId="0" fontId="14" fillId="0" borderId="1" xfId="0" applyFont="1" applyFill="1" applyBorder="1" applyAlignment="1">
      <s:alignment horizontal="center" vertical="center" wrapText="1" mc:Ignorable="vyd"/>
    </s:xf>
    <s:xf numFmtId="2" fontId="2" fillId="13" borderId="1" xfId="0" applyNumberFormat="1" applyFont="1" applyFill="1" applyBorder="1" applyAlignment="1">
      <s:alignment horizontal="center" mc:Ignorable="vyd"/>
    </s:xf>
    <s:xf numFmtId="0" fontId="0" fillId="0" borderId="1" xfId="0" applyBorder="1" applyAlignment="1"/>
    <s:xf numFmtId="0" fontId="7" fillId="0" borderId="1" xfId="0" applyFont="1" applyBorder="1" applyAlignment="1">
      <s:alignment horizontal="left" vertical="center" wrapText="1" mc:Ignorable="vyd"/>
    </s:xf>
    <s:xf numFmtId="0" fontId="6" fillId="0" borderId="1" xfId="0" applyFont="1" applyBorder="1" applyAlignment="1">
      <s:alignment horizontal="left" vertical="center" indent="1" mc:Ignorable="vyd"/>
    </s:xf>
    <s:xf numFmtId="0" fontId="5" fillId="13" borderId="1" xfId="0" applyFont="1" applyFill="1" applyBorder="1" applyAlignment="1">
      <s:alignment wrapText="1" mc:Ignorable="vyd"/>
    </s:xf>
    <s:xf numFmtId="0" fontId="6" fillId="0" borderId="1" xfId="0" applyFont="1" applyBorder="1" applyAlignment="1">
      <s:alignment horizontal="left" vertical="center" wrapText="1" mc:Ignorable="vyd"/>
    </s:xf>
    <s:xf numFmtId="0" fontId="7" fillId="0" borderId="1" xfId="0" applyFont="1" applyBorder="1" applyAlignment="1">
      <s:alignment vertical="center" wrapText="1" mc:Ignorable="vyd"/>
    </s:xf>
    <s:xf numFmtId="0" fontId="0" fillId="0" borderId="1" xfId="0" applyBorder="1" applyAlignment="1">
      <s:alignment horizontal="left" vertical="center" wrapText="1" mc:Ignorable="vyd"/>
    </s:xf>
    <s:xf numFmtId="0" fontId="7" fillId="13" borderId="1" xfId="0" applyFont="1" applyFill="1" applyBorder="1" applyAlignment="1">
      <s:alignment vertical="center" wrapText="1" mc:Ignorable="vyd"/>
    </s:xf>
    <s:xf numFmtId="2" fontId="10" fillId="2" borderId="1" xfId="0" applyNumberFormat="1" applyFont="1" applyFill="1" applyBorder="1"/>
    <s:xf numFmtId="0" fontId="0" fillId="9" borderId="1" xfId="0" applyFill="1" applyBorder="1"/>
    <s:xf numFmtId="43" fontId="10" fillId="9" borderId="1" xfId="1" applyFont="1" applyFill="1" applyBorder="1" applyAlignment="1">
      <s:alignment wrapText="1" mc:Ignorable="vyd"/>
    </s:xf>
    <s:xf numFmtId="0" fontId="9" fillId="9" borderId="1" xfId="0" applyFont="1" applyFill="1" applyBorder="1"/>
    <s:xf numFmtId="0" fontId="4" fillId="3" borderId="1" xfId="0" applyFont="1" applyFill="1" applyBorder="1" applyAlignment="1">
      <s:alignment horizontal="center" vertical="top" textRotation="90" mc:Ignorable="vyd"/>
    </s:xf>
    <s:xf numFmtId="2" fontId="10" fillId="5" borderId="1" xfId="0" applyNumberFormat="1" applyFont="1" applyFill="1" applyBorder="1" applyAlignment="1">
      <s:alignment wrapText="1" mc:Ignorable="vyd"/>
    </s:xf>
    <s:xf numFmtId="2" fontId="9" fillId="5" borderId="1" xfId="0" applyNumberFormat="1" applyFont="1" applyFill="1" applyBorder="1" applyAlignment="1">
      <s:alignment wrapText="1" mc:Ignorable="vyd"/>
    </s:xf>
    <s:xf numFmtId="164" fontId="14" fillId="6" borderId="1" xfId="1" applyNumberFormat="1" applyFont="1" applyFill="1" applyBorder="1" applyAlignment="1">
      <s:alignment horizontal="center" vertical="center" mc:Ignorable="vyd"/>
    </s:xf>
    <s:xf numFmtId="0" fontId="0" fillId="10" borderId="27" xfId="0" applyFill="1" applyBorder="1" applyAlignment="1"/>
    <s:xf numFmtId="0" fontId="0" fillId="10" borderId="28" xfId="0" applyFill="1" applyBorder="1" applyAlignment="1">
      <s:alignment wrapText="1" mc:Ignorable="vyd"/>
    </s:xf>
    <s:xf numFmtId="43" fontId="0" fillId="10" borderId="18" xfId="0" applyNumberFormat="1" applyFill="1" applyBorder="1"/>
    <s:xf numFmtId="0" fontId="0" fillId="10" borderId="29" xfId="0" applyFill="1" applyBorder="1" applyAlignment="1"/>
    <s:xf numFmtId="0" fontId="0" fillId="10" borderId="30" xfId="0" applyFill="1" applyBorder="1"/>
    <s:xf numFmtId="43" fontId="0" fillId="10" borderId="12" xfId="1" applyFont="1" applyFill="1" applyBorder="1"/>
    <s:xf numFmtId="43" fontId="0" fillId="10" borderId="18" xfId="1" applyFont="1" applyFill="1" applyBorder="1"/>
    <s:xf numFmtId="0" fontId="0" fillId="10" borderId="31" xfId="0" applyFill="1" applyBorder="1"/>
    <s:xf numFmtId="43" fontId="0" fillId="14" borderId="11" xfId="1" applyFont="1" applyFill="1" applyBorder="1"/>
    <s:xf numFmtId="43" fontId="0" fillId="14" borderId="24" xfId="1" applyFont="1" applyFill="1" applyBorder="1"/>
    <s:xf numFmtId="43" fontId="0" fillId="14" borderId="13" xfId="1" applyFont="1" applyFill="1" applyBorder="1"/>
    <s:xf numFmtId="43" fontId="0" fillId="14" borderId="25" xfId="1" applyFont="1" applyFill="1" applyBorder="1"/>
    <s:xf numFmtId="0" fontId="6" fillId="13" borderId="1" xfId="0" applyFont="1" applyFill="1" applyBorder="1" applyAlignment="1">
      <s:alignment horizontal="left" vertical="center" mc:Ignorable="vyd"/>
    </s:xf>
    <s:xf numFmtId="0" fontId="7" fillId="0" borderId="1" xfId="0" applyFont="1" applyBorder="1" applyAlignment="1">
      <s:alignment horizontal="left" vertical="center" mc:Ignorable="vyd"/>
    </s:xf>
    <s:xf numFmtId="0" fontId="6" fillId="13" borderId="1" xfId="0" applyFont="1" applyFill="1" applyBorder="1" applyAlignment="1">
      <s:alignment horizontal="left" vertical="center" wrapText="1" mc:Ignorable="vyd"/>
    </s:xf>
    <s:xf numFmtId="0" fontId="13" fillId="3" borderId="1" xfId="0" applyFont="1" applyFill="1" applyBorder="1" applyAlignment="1">
      <s:alignment horizontal="center" vertical="center" wrapText="1" mc:Ignorable="vyd"/>
    </s:xf>
    <s:xf numFmtId="0" fontId="13" fillId="3" borderId="1" xfId="0" applyFont="1" applyFill="1" applyBorder="1" applyAlignment="1">
      <s:alignment horizontal="center" vertical="center" mc:Ignorable="vyd"/>
    </s:xf>
    <s:xf numFmtId="0" fontId="7" fillId="0" borderId="1" xfId="0" applyFont="1" applyBorder="1" applyAlignment="1">
      <s:alignment horizontal="left" vertical="center" wrapText="1" mc:Ignorable="vyd"/>
    </s:xf>
    <s:xf numFmtId="0" fontId="5" fillId="11" borderId="1" xfId="0" applyFont="1" applyFill="1" applyBorder="1" applyAlignment="1">
      <s:alignment horizontal="center" vertical="center" wrapText="1" mc:Ignorable="vyd"/>
    </s:xf>
    <s:xf numFmtId="0" fontId="7" fillId="11" borderId="1" xfId="0" applyFont="1" applyFill="1" applyBorder="1" applyAlignment="1">
      <s:alignment horizontal="center" vertical="center" wrapText="1" mc:Ignorable="vyd"/>
    </s:xf>
    <s:xf numFmtId="0" fontId="8" fillId="7" borderId="2" xfId="0" applyFont="1" applyFill="1" applyBorder="1" applyAlignment="1">
      <s:alignment horizontal="left" vertical="center" mc:Ignorable="vyd"/>
    </s:xf>
    <s:xf numFmtId="0" fontId="8" fillId="7" borderId="8" xfId="0" applyFont="1" applyFill="1" applyBorder="1" applyAlignment="1">
      <s:alignment horizontal="left" vertical="center" mc:Ignorable="vyd"/>
    </s:xf>
    <s:xf numFmtId="0" fontId="8" fillId="7" borderId="3" xfId="0" applyFont="1" applyFill="1" applyBorder="1" applyAlignment="1">
      <s:alignment horizontal="left" vertical="center" mc:Ignorable="vyd"/>
    </s:xf>
    <s:xf numFmtId="0" fontId="8" fillId="8" borderId="26" xfId="0" applyFont="1" applyFill="1" applyBorder="1" applyAlignment="1">
      <s:alignment horizontal="left" vertical="center" mc:Ignorable="vyd"/>
    </s:xf>
    <s:xf numFmtId="0" fontId="8" fillId="8" borderId="6" xfId="0" applyFont="1" applyFill="1" applyBorder="1" applyAlignment="1">
      <s:alignment horizontal="left" vertical="center" mc:Ignorable="vyd"/>
    </s:xf>
    <s:xf numFmtId="0" fontId="14" fillId="3" borderId="2" xfId="0" applyFont="1" applyFill="1" applyBorder="1" applyAlignment="1">
      <s:alignment horizontal="center" vertical="center" mc:Ignorable="vyd"/>
    </s:xf>
    <s:xf numFmtId="0" fontId="14" fillId="3" borderId="8" xfId="0" applyFont="1" applyFill="1" applyBorder="1" applyAlignment="1">
      <s:alignment horizontal="center" vertical="center" mc:Ignorable="vyd"/>
    </s:xf>
    <s:xf numFmtId="0" fontId="14" fillId="3" borderId="3" xfId="0" applyFont="1" applyFill="1" applyBorder="1" applyAlignment="1">
      <s:alignment horizontal="center" vertical="center" mc:Ignorable="vyd"/>
    </s:xf>
    <s:xf numFmtId="0" fontId="0" fillId="11" borderId="1" xfId="0" applyFill="1" applyBorder="1" applyAlignment="1">
      <s:alignment horizontal="center" vertical="center" wrapText="1" mc:Ignorable="vyd"/>
    </s:xf>
    <s:xf numFmtId="0" fontId="0" fillId="0" borderId="1" xfId="0" applyBorder="1" applyAlignment="1">
      <s:alignment horizontal="left" vertical="top" wrapText="1" mc:Ignorable="vyd"/>
    </s:xf>
    <s:xf numFmtId="0" fontId="17" fillId="3" borderId="2" xfId="0" applyFont="1" applyFill="1" applyBorder="1" applyAlignment="1">
      <s:alignment horizontal="center" vertical="center" mc:Ignorable="vyd"/>
    </s:xf>
    <s:xf numFmtId="0" fontId="17" fillId="3" borderId="8" xfId="0" applyFont="1" applyFill="1" applyBorder="1" applyAlignment="1">
      <s:alignment horizontal="center" vertical="center" mc:Ignorable="vyd"/>
    </s:xf>
    <s:xf numFmtId="0" fontId="17" fillId="3" borderId="3" xfId="0" applyFont="1" applyFill="1" applyBorder="1" applyAlignment="1">
      <s:alignment horizontal="center" vertical="center" mc:Ignorable="vyd"/>
    </s:xf>
    <s:xf numFmtId="0" fontId="14" fillId="6" borderId="1" xfId="0" applyFont="1" applyFill="1" applyBorder="1" applyAlignment="1">
      <s:alignment horizontal="center" vertical="center" mc:Ignorable="vyd"/>
    </s:xf>
    <s:xf numFmtId="0" fontId="0" fillId="0" borderId="1" xfId="0" applyBorder="1" applyAlignment="1">
      <s:alignment horizontal="center" mc:Ignorable="vyd"/>
    </s:xf>
    <s:xf numFmtId="0" fontId="0" fillId="0" borderId="1" xfId="0" applyBorder="1" applyAlignment="1">
      <s:alignment horizontal="left" mc:Ignorable="vyd"/>
    </s:xf>
  </s:cellXfs>
  <s:cellStyles count="2">
    <s:cellStyle name="Обычный" xfId="0" builtinId="0"/>
    <s:cellStyle name="Финансовый" xfId="1" builtinId="3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6" Type="http://schemas.openxmlformats.org/officeDocument/2006/relationships/sharedStrings" Target="sharedStrings.xml"/><Relationship Id="rId4" Type="http://schemas.openxmlformats.org/officeDocument/2006/relationships/styles" Target="styles.xml"/><Relationship Target="theme/theme1.xml" Type="http://schemas.openxmlformats.org/officeDocument/2006/relationships/theme" Id="rId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charts/_rels/chart1.xml.rels><?xml version="1.0" 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mc="http://schemas.openxmlformats.org/markup-compatibility/2006" xmlns:c15="http://schemas.microsoft.com/office/drawing/2012/chart" xmlns:unk5="http://schemas.microsoft.com/office/drawing/2017/03/chart" xmlns:unk4="http://schemas.microsoft.com/office/drawing/2014/chart" xmlns:c="http://schemas.openxmlformats.org/drawingml/2006/chart" xmlns:a="http://schemas.openxmlformats.org/drawingml/2006/main" xmlns:vyd="http://volga.yandex.com/schemas/document/model">
  <c:date1904 val="0"/>
  <c:lang val="ru-RU"/>
  <c:roundedCorners val="0"/>
  <c:chart>
    <c:title mc:Ignorable="vyd">
      <c:overlay val="0"/>
      <c:spPr>
        <a:noFill/>
        <a:ln>
          <a:noFill/>
        </a:ln>
        <a:effectLst/>
      </c:spPr>
      <c:txPr>
        <a:bodyPr rot="0" spcFirstLastPara="1" vertOverflow="ellipsis" wrap="square" anchorCtr="1" vert="horz" lIns="0" tIns="0" rIns="0" bIns="0" anchor="ctr"/>
        <a:lstStyle/>
        <a:p>
          <a:pPr>
            <a:defRPr kern="1200" cap="all" spc="100" normalizeH="0" baseline="0" sz="1500" b="1" i="0" u="none" strike="noStrike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Аналитика!$C$3</c:f>
              <c:strCache>
                <c:ptCount val="1"/>
                <c:pt idx="0">
                  <c:v>Соотношение к проекту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1-FE1C-4EBF-A466-59A2DCCF4DA8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3-FE1C-4EBF-A466-59A2DCCF4DA8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5-FE1C-4EBF-A466-59A2DCCF4DA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7-FE1C-4EBF-A466-59A2DCCF4DA8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1-47E3-416D-87DC-02F72B858BF0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3-47E3-416D-87DC-02F72B858BF0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2-47E3-416D-87DC-02F72B858BF0}"/>
              </c:ext>
            </c:extLst>
          </c:dPt>
          <c:dLbls>
            <c:dLbl>
              <c:idx val="4"/>
              <c:layout>
                <c:manualLayout>
                  <c:x val="-0.035"/>
                  <c:y val="0.083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uri="{CE6537A1-D6FC-4f65-9D91-7224C49458BB}">
                  <c15:layout>
                    <c:manualLayout>
                      <c:w val="0.23725292231512299"/>
                      <c:h val="0.20851346065543103"/>
                    </c:manualLayout>
                  </c15:layout>
                </c:ext>
                <c:ext uri="{C3380CC4-5D6E-409C-BE32-E72D297353CC}">
                  <unk4:uniqueId val="{00000001-47E3-416D-87DC-02F72B858BF0}"/>
                </c:ext>
              </c:extLst>
            </c:dLbl>
            <c:dLbl>
              <c:idx val="6"/>
              <c:layout>
                <c:manualLayout>
                  <c:x val="-0.239"/>
                  <c:y val="0.028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uri="{CE6537A1-D6FC-4f65-9D91-7224C49458BB}"/>
                <c:ext uri="{C3380CC4-5D6E-409C-BE32-E72D297353CC}">
                  <unk4:uniqueId val="{00000002-47E3-416D-87DC-02F72B858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Аналитика!$B$4:$B$10</c:f>
              <c:strCache>
                <c:ptCount val="7"/>
                <c:pt idx="0">
                  <c:v>Этап 0. Подготовка инфраструктуры</c:v>
                </c:pt>
                <c:pt idx="1">
                  <c:v>Этап 1: Подготовка и планирование</c:v>
                </c:pt>
                <c:pt idx="2">
                  <c:v>Этап 2: Сбор и анализ данных</c:v>
                </c:pt>
                <c:pt idx="3">
                  <c:v>Этап 3: Моделирование</c:v>
                </c:pt>
                <c:pt idx="4">
                  <c:v>Этап 4: Пуско-наладочные испытания и оптимизация</c:v>
                </c:pt>
                <c:pt idx="5">
                  <c:v>Этап 5: Обучение и Документация</c:v>
                </c:pt>
                <c:pt idx="6">
                  <c:v>Этап 6: Завершение проекта</c:v>
                </c:pt>
              </c:strCache>
            </c:strRef>
          </c:cat>
          <c:val>
            <c:numRef>
              <c:f>Аналитика!$C$4:$C$10</c:f>
              <c:numCache>
                <c:formatCode>0.00%</c:formatCode>
                <c:ptCount val="7"/>
                <c:pt idx="0">
                  <c:v>0.2657831500764582</c:v>
                </c:pt>
                <c:pt idx="1">
                  <c:v>0.10679870870652201</c:v>
                </c:pt>
                <c:pt idx="2">
                  <c:v>0.30219180077186342</c:v>
                </c:pt>
                <c:pt idx="3">
                  <c:v>0.13107114250345883</c:v>
                </c:pt>
                <c:pt idx="4">
                  <c:v>9.0536178062574357E-2</c:v>
                </c:pt>
                <c:pt idx="5">
                  <c:v>4.9758489283720488E-2</c:v>
                </c:pt>
                <c:pt idx="6">
                  <c:v>5.3860530595402807E-2</c:v>
                </c:pt>
              </c:numCache>
            </c:numRef>
          </c:val>
          <c:extLst>
            <c:ext uri="{C3380CC4-5D6E-409C-BE32-E72D297353CC}">
              <unk4:uniqueId val="{00000000-47E3-416D-87DC-02F72B858BF0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56B9EC1D-385E-4148-901F-78D8002777C0}">
        <unk5:dataDisplayOptions16>
          <unk5:dispNaAsBlank val="1"/>
        </unk5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 lIns="0" tIns="0" rIns="0" bIns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mc="http://schemas.openxmlformats.org/markup-compatibility/2006" xmlns:vyd="http://volga.yandex.com/schemas/document/model" xmlns:unk5="http://schemas.microsoft.com/office/drawing/2017/03/chart" xmlns:c="http://schemas.openxmlformats.org/drawingml/2006/chart" xmlns:unk4="http://schemas.microsoft.com/office/drawing/2014/chart" xmlns:a="http://schemas.openxmlformats.org/drawingml/2006/main">
  <c:date1904 val="0"/>
  <c:lang val="ru-RU"/>
  <c:roundedCorners val="0"/>
  <c:chart>
    <c:title mc:Ignorable="vyd">
      <c:tx>
        <c:rich>
          <a:bodyPr rot="0" spcFirstLastPara="1" vertOverflow="ellipsis" wrap="square" anchorCtr="1" vert="horz" lIns="0" tIns="0" rIns="0" bIns="0" anchor="ctr"/>
          <a:lstStyle/>
          <a:p>
            <a:pPr>
              <a:defRPr kern="1200" cap="all" spc="100" normalizeH="0" baseline="0" sz="1500" b="1" i="0" u="none" strike="noStrike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Соотношение по ролям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Ctr="1" vert="horz" lIns="0" tIns="0" rIns="0" bIns="0" anchor="ctr"/>
        <a:lstStyle/>
        <a:p>
          <a:pPr>
            <a:defRPr kern="1200" cap="all" spc="100" normalizeH="0" baseline="0" sz="1500" b="1" i="0" u="none" strike="noStrike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8-47BC-4C0B-9AC8-E10FBC6E01B5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3-CE5F-430F-AC94-D33F3ABDAFC1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5-CE5F-430F-AC94-D33F3ABDAFC1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7-CE5F-430F-AC94-D33F3ABDAFC1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9-CE5F-430F-AC94-D33F3ABDAFC1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B-CE5F-430F-AC94-D33F3ABDAFC1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9-47BC-4C0B-9AC8-E10FBC6E01B5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uri="{C3380CC4-5D6E-409C-BE32-E72D297353CC}">
                <unk4:uniqueId val="{0000000F-CE5F-430F-AC94-D33F3ABDAFC1}"/>
              </c:ext>
            </c:extLst>
          </c:dPt>
          <c:dLbls>
            <c:dLbl>
              <c:idx val="0"/>
              <c:layout>
                <c:manualLayout>
                  <c:x val="-0.058"/>
                  <c:y val="0.2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uri="{CE6537A1-D6FC-4f65-9D91-7224C49458BB}"/>
                <c:ext uri="{C3380CC4-5D6E-409C-BE32-E72D297353CC}">
                  <unk4:uniqueId val="{00000008-47BC-4C0B-9AC8-E10FBC6E01B5}"/>
                </c:ext>
              </c:extLst>
            </c:dLbl>
            <c:dLbl>
              <c:idx val="6"/>
              <c:layout>
                <c:manualLayout>
                  <c:x val="0.134"/>
                  <c:y val="0.16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uri="{CE6537A1-D6FC-4f65-9D91-7224C49458BB}"/>
                <c:ext uri="{C3380CC4-5D6E-409C-BE32-E72D297353CC}">
                  <unk4:uniqueId val="{00000009-47BC-4C0B-9AC8-E10FBC6E01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Аналитика!$E$3:$L$3</c:f>
              <c:strCache>
                <c:ptCount val="8"/>
                <c:pt idx="0">
                  <c:v>PM</c:v>
                </c:pt>
                <c:pt idx="1">
                  <c:v>DS Senior</c:v>
                </c:pt>
                <c:pt idx="2">
                  <c:v>DS middle</c:v>
                </c:pt>
                <c:pt idx="3">
                  <c:v>Arch</c:v>
                </c:pt>
                <c:pt idx="4">
                  <c:v>BI</c:v>
                </c:pt>
                <c:pt idx="5">
                  <c:v>Data Engineer</c:v>
                </c:pt>
                <c:pt idx="6">
                  <c:v>Ops (Dev/ML)</c:v>
                </c:pt>
                <c:pt idx="7">
                  <c:v>BusinAnalust</c:v>
                </c:pt>
              </c:strCache>
            </c:strRef>
          </c:cat>
          <c:val>
            <c:numRef>
              <c:f>Аналитика!$E$11:$L$11</c:f>
              <c:numCache>
                <c:formatCode>General</c:formatCode>
                <c:ptCount val="8"/>
                <c:pt idx="0">
                  <c:v>16.98</c:v>
                </c:pt>
                <c:pt idx="1">
                  <c:v>48.974999999999994</c:v>
                </c:pt>
                <c:pt idx="2">
                  <c:v>43.575000000000003</c:v>
                </c:pt>
                <c:pt idx="3">
                  <c:v>20.730000000000004</c:v>
                </c:pt>
                <c:pt idx="4">
                  <c:v>14.530000000000001</c:v>
                </c:pt>
                <c:pt idx="5">
                  <c:v>25.612499999999997</c:v>
                </c:pt>
                <c:pt idx="6">
                  <c:v>25.692500000000003</c:v>
                </c:pt>
                <c:pt idx="7">
                  <c:v>9.8999999999999986</c:v>
                </c:pt>
              </c:numCache>
            </c:numRef>
          </c:val>
          <c:extLst>
            <c:ext uri="{C3380CC4-5D6E-409C-BE32-E72D297353CC}">
              <unk4:uniqueId val="{00000000-47BC-4C0B-9AC8-E10FBC6E01B5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56B9EC1D-385E-4148-901F-78D8002777C0}">
        <unk5:dataDisplayOptions16>
          <unk5:dispNaAsBlank val="1"/>
        </unk5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 lIns="0" tIns="0" rIns="0" bIns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unk3:colorStyle xmlns:a="http://schemas.openxmlformats.org/drawingml/2006/main" xmlns:unk3="http://schemas.microsoft.com/office/drawing/2012/chartStyle" meth="cycle" id="10">
  <a:schemeClr val="accent1"/>
  <a:schemeClr val="accent2"/>
  <a:schemeClr val="accent3"/>
  <a:schemeClr val="accent4"/>
  <a:schemeClr val="accent5"/>
  <a:schemeClr val="accent6"/>
  <unk3:variation/>
  <unk3:variation>
    <a:lumMod val="60000"/>
  </unk3:variation>
  <unk3:variation>
    <a:lumMod val="80000"/>
    <a:lumOff val="20000"/>
  </unk3:variation>
  <unk3:variation>
    <a:lumMod val="80000"/>
  </unk3:variation>
  <unk3:variation>
    <a:lumMod val="60000"/>
    <a:lumOff val="40000"/>
  </unk3:variation>
  <unk3:variation>
    <a:lumMod val="50000"/>
  </unk3:variation>
  <unk3:variation>
    <a:lumMod val="70000"/>
    <a:lumOff val="30000"/>
  </unk3:variation>
  <unk3:variation>
    <a:lumMod val="70000"/>
  </unk3:variation>
  <unk3:variation>
    <a:lumMod val="50000"/>
    <a:lumOff val="50000"/>
  </unk3:variation>
</unk3:colorStyle>
</file>

<file path=xl/charts/colors2.xml><?xml version="1.0" encoding="utf-8"?>
<unk3:colorStyle xmlns:a="http://schemas.openxmlformats.org/drawingml/2006/main" xmlns:unk3="http://schemas.microsoft.com/office/drawing/2012/chartStyle" meth="cycle" id="10">
  <a:schemeClr val="accent1"/>
  <a:schemeClr val="accent2"/>
  <a:schemeClr val="accent3"/>
  <a:schemeClr val="accent4"/>
  <a:schemeClr val="accent5"/>
  <a:schemeClr val="accent6"/>
  <unk3:variation/>
  <unk3:variation>
    <a:lumMod val="60000"/>
  </unk3:variation>
  <unk3:variation>
    <a:lumMod val="80000"/>
    <a:lumOff val="20000"/>
  </unk3:variation>
  <unk3:variation>
    <a:lumMod val="80000"/>
  </unk3:variation>
  <unk3:variation>
    <a:lumMod val="60000"/>
    <a:lumOff val="40000"/>
  </unk3:variation>
  <unk3:variation>
    <a:lumMod val="50000"/>
  </unk3:variation>
  <unk3:variation>
    <a:lumMod val="70000"/>
    <a:lumOff val="30000"/>
  </unk3:variation>
  <unk3:variation>
    <a:lumMod val="70000"/>
  </unk3:variation>
  <unk3:variation>
    <a:lumMod val="50000"/>
    <a:lumOff val="50000"/>
  </unk3:variation>
</unk3:colorStyle>
</file>

<file path=xl/charts/style1.xml><?xml version="1.0" encoding="utf-8"?>
<unk3:chartStyle xmlns:a="http://schemas.openxmlformats.org/drawingml/2006/main" xmlns:unk3="http://schemas.microsoft.com/office/drawing/2012/chartStyle" id="260">
  <unk3:axisTitle>
    <unk3:lnRef idx="0"/>
    <unk3:fillRef idx="0"/>
    <unk3:effectRef idx="0"/>
    <unk3:fontRef idx="minor">
      <a:schemeClr val="lt1"/>
    </unk3:fontRef>
    <unk3:defRPr sz="900" b="1" kern="1200"/>
  </unk3:axisTitle>
  <unk3:categoryAxis>
    <unk3:lnRef idx="0">
      <unk3:styleClr val="0"/>
    </unk3:lnRef>
    <unk3:fillRef idx="0"/>
    <unk3:effectRef idx="0"/>
    <unk3:fontRef idx="minor">
      <a:schemeClr val="lt1"/>
    </unk3:fontRef>
    <unk3:spPr>
      <a:ln w="3175" cap="flat" cmpd="sng" algn="ctr">
        <a:solidFill>
          <a:schemeClr val="phClr">
            <a:lumMod val="60000"/>
            <a:lumOff val="40000"/>
          </a:schemeClr>
        </a:solidFill>
        <a:round/>
      </a:ln>
    </unk3:spPr>
    <unk3:defRPr sz="800" kern="1200" cap="all" spc="150" normalizeH="0" baseline="0"/>
  </unk3:categoryAxis>
  <unk3:chartArea>
    <unk3:lnRef idx="0">
      <unk3:styleClr val="0"/>
    </unk3:lnRef>
    <unk3:fillRef idx="0">
      <unk3:styleClr val="0"/>
    </unk3:fillRef>
    <unk3:effectRef idx="0"/>
    <unk3:fontRef idx="minor">
      <a:schemeClr val="dk1"/>
    </unk3:fontRef>
    <unk3:spPr>
      <a:solidFill>
        <a:schemeClr val="phClr"/>
      </a:solidFill>
      <a:ln w="9525" cap="flat" cmpd="sng" algn="ctr">
        <a:solidFill>
          <a:schemeClr val="phClr"/>
        </a:solidFill>
        <a:round/>
      </a:ln>
    </unk3:spPr>
    <unk3:defRPr sz="1000" kern="1200"/>
  </unk3:chartArea>
  <unk3:dataLabel>
    <unk3:lnRef idx="0">
      <unk3:styleClr val="0"/>
    </unk3:lnRef>
    <unk3:fillRef idx="0"/>
    <unk3:effectRef idx="0"/>
    <unk3:fontRef idx="minor">
      <unk3:styleClr val="0"/>
    </unk3:fontRef>
    <unk3:defRPr sz="900" b="1" kern="1200"/>
  </unk3:dataLabel>
  <unk3:dataLabelCallout>
    <unk3:lnRef idx="0">
      <unk3:styleClr val="0"/>
    </unk3:lnRef>
    <unk3:fillRef idx="0"/>
    <unk3:effectRef idx="0"/>
    <unk3:fontRef idx="minor">
      <unk3:styleClr val="0"/>
    </unk3:fontRef>
    <unk3:spPr>
      <a:solidFill>
        <a:schemeClr val="lt1"/>
      </a:solidFill>
      <a:ln>
        <a:solidFill>
          <a:schemeClr val="phClr"/>
        </a:solidFill>
      </a:ln>
    </unk3:spPr>
    <unk3:defRPr sz="900" b="1" kern="1200"/>
    <unk3:bodyPr rot="0" spcFirstLastPara="1" vertOverflow="clip" horzOverflow="clip" vert="horz" wrap="square" lIns="36576" tIns="18288" rIns="36576" bIns="18288" anchor="ctr" anchorCtr="1">
      <a:spAutoFit/>
    </unk3:bodyPr>
  </unk3:dataLabelCallout>
  <unk3:dataPoint>
    <unk3:lnRef idx="0">
      <unk3:styleClr val="0"/>
    </unk3:lnRef>
    <unk3:fillRef idx="0"/>
    <unk3:effectRef idx="0"/>
    <unk3:fontRef idx="minor">
      <a:schemeClr val="dk1"/>
    </unk3:fontRef>
    <unk3:spPr>
      <a:solidFill>
        <a:schemeClr val="lt1"/>
      </a:solidFill>
      <a:ln w="19050">
        <a:solidFill>
          <a:schemeClr val="phClr"/>
        </a:solidFill>
      </a:ln>
    </unk3:spPr>
  </unk3:dataPoint>
  <unk3:dataPoint3D>
    <unk3:lnRef idx="0"/>
    <unk3:fillRef idx="0">
      <unk3:styleClr val="auto"/>
    </unk3:fillRef>
    <unk3:effectRef idx="0"/>
    <unk3:fontRef idx="minor">
      <a:schemeClr val="dk1"/>
    </unk3:fontRef>
    <unk3:spPr>
      <a:solidFill>
        <a:schemeClr val="phClr"/>
      </a:solidFill>
    </unk3:spPr>
  </unk3:dataPoint3D>
  <unk3:dataPointLine>
    <unk3:lnRef idx="0">
      <unk3:styleClr val="auto"/>
    </unk3:lnRef>
    <unk3:fillRef idx="0"/>
    <unk3:effectRef idx="0">
      <unk3:styleClr val="auto"/>
    </unk3:effectRef>
    <unk3:fontRef idx="minor">
      <a:schemeClr val="dk1"/>
    </unk3:fontRef>
    <unk3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unk3:spPr>
  </unk3:dataPointLine>
  <unk3:dataPointMarker>
    <unk3:lnRef idx="0"/>
    <unk3:fillRef idx="0">
      <unk3:styleClr val="auto"/>
    </unk3:fillRef>
    <unk3:effectRef idx="0"/>
    <unk3:fontRef idx="minor">
      <a:schemeClr val="dk1"/>
    </unk3:fontRef>
    <unk3:spPr>
      <a:solidFill>
        <a:schemeClr val="phClr"/>
      </a:solidFill>
      <a:ln w="22225">
        <a:solidFill>
          <a:schemeClr val="lt1"/>
        </a:solidFill>
        <a:round/>
      </a:ln>
    </unk3:spPr>
  </unk3:dataPointMarker>
  <unk3:dataPointMarkerLayout symbol="circle" size="5"/>
  <unk3:dataPointWireframe>
    <unk3:lnRef idx="0">
      <unk3:styleClr val="auto"/>
    </unk3:lnRef>
    <unk3:fillRef idx="0"/>
    <unk3:effectRef idx="0"/>
    <unk3:fontRef idx="minor">
      <a:schemeClr val="dk1"/>
    </unk3:fontRef>
    <unk3:spPr>
      <a:ln w="9525" cap="rnd">
        <a:solidFill>
          <a:schemeClr val="phClr"/>
        </a:solidFill>
        <a:round/>
      </a:ln>
    </unk3:spPr>
  </unk3:dataPointWireframe>
  <unk3:dataTable>
    <unk3:lnRef idx="0">
      <unk3:styleClr val="0"/>
    </unk3:lnRef>
    <unk3:fillRef idx="0"/>
    <unk3:effectRef idx="0"/>
    <unk3:fontRef idx="minor">
      <a:schemeClr val="lt1"/>
    </unk3:fontRef>
    <unk3:spPr>
      <a:ln w="9525">
        <a:solidFill>
          <a:schemeClr val="phClr">
            <a:lumMod val="60000"/>
            <a:lumOff val="40000"/>
          </a:schemeClr>
        </a:solidFill>
      </a:ln>
    </unk3:spPr>
    <unk3:defRPr sz="900" kern="1200"/>
  </unk3:dataTable>
  <unk3:downBar>
    <unk3:lnRef idx="0">
      <unk3:styleClr val="0"/>
    </unk3:lnRef>
    <unk3:fillRef idx="0"/>
    <unk3:effectRef idx="0"/>
    <unk3:fontRef idx="minor">
      <a:schemeClr val="dk1"/>
    </unk3:fontRef>
    <unk3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unk3:spPr>
  </unk3:downBar>
  <unk3:dropLine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</a:schemeClr>
        </a:solidFill>
        <a:prstDash val="dash"/>
      </a:ln>
    </unk3:spPr>
  </unk3:dropLine>
  <unk3:errorBar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unk3:spPr>
  </unk3:errorBar>
  <unk3:floor>
    <unk3:lnRef idx="0"/>
    <unk3:fillRef idx="0"/>
    <unk3:effectRef idx="0"/>
    <unk3:fontRef idx="minor">
      <a:schemeClr val="dk1"/>
    </unk3:fontRef>
  </unk3:floor>
  <unk3:gridlineMajor>
    <unk3:lnRef idx="0">
      <unk3:styleClr val="0"/>
    </unk3:lnRef>
    <unk3:fillRef idx="0"/>
    <unk3:effectRef idx="0"/>
    <unk3:fontRef idx="minor">
      <a:schemeClr val="dk1"/>
    </unk3:fontRef>
    <unk3:spPr>
      <a:ln w="9525" cap="flat" cmpd="sng" algn="ctr">
        <a:solidFill>
          <a:schemeClr val="lt1">
            <a:alpha val="25000"/>
          </a:schemeClr>
        </a:solidFill>
        <a:round/>
      </a:ln>
    </unk3:spPr>
  </unk3:gridlineMajor>
  <unk3:gridlineMinor>
    <unk3:lnRef idx="0">
      <unk3:styleClr val="0"/>
    </unk3:lnRef>
    <unk3:fillRef idx="0"/>
    <unk3:effectRef idx="0"/>
    <unk3:fontRef idx="minor">
      <a:schemeClr val="dk1"/>
    </unk3:fontRef>
    <unk3:spPr>
      <a:ln>
        <a:solidFill>
          <a:schemeClr val="lt1">
            <a:alpha val="10000"/>
          </a:schemeClr>
        </a:solidFill>
      </a:ln>
    </unk3:spPr>
  </unk3:gridlineMinor>
  <unk3:hiLoLine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</a:schemeClr>
        </a:solidFill>
        <a:prstDash val="dash"/>
      </a:ln>
    </unk3:spPr>
  </unk3:hiLoLine>
  <unk3:leaderLine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</a:schemeClr>
        </a:solidFill>
      </a:ln>
    </unk3:spPr>
  </unk3:leaderLine>
  <unk3:legend>
    <unk3:lnRef idx="0"/>
    <unk3:fillRef idx="0"/>
    <unk3:effectRef idx="0"/>
    <unk3:fontRef idx="minor">
      <a:schemeClr val="lt1"/>
    </unk3:fontRef>
    <unk3:defRPr sz="900" kern="1200"/>
  </unk3:legend>
  <unk3:plotArea>
    <unk3:lnRef idx="0"/>
    <unk3:fillRef idx="0"/>
    <unk3:effectRef idx="0"/>
    <unk3:fontRef idx="minor">
      <a:schemeClr val="dk1"/>
    </unk3:fontRef>
  </unk3:plotArea>
  <unk3:plotArea3D>
    <unk3:lnRef idx="0"/>
    <unk3:fillRef idx="0"/>
    <unk3:effectRef idx="0"/>
    <unk3:fontRef idx="minor">
      <a:schemeClr val="dk1"/>
    </unk3:fontRef>
  </unk3:plotArea3D>
  <unk3:seriesAxis>
    <unk3:lnRef idx="0">
      <unk3:styleClr val="0"/>
    </unk3:lnRef>
    <unk3:fillRef idx="0"/>
    <unk3:effectRef idx="0"/>
    <unk3:fontRef idx="minor">
      <a:schemeClr val="lt1"/>
    </unk3:fontRef>
    <unk3:spPr>
      <a:ln w="3175" cap="flat" cmpd="sng" algn="ctr">
        <a:solidFill>
          <a:schemeClr val="phClr">
            <a:lumMod val="60000"/>
            <a:lumOff val="40000"/>
          </a:schemeClr>
        </a:solidFill>
        <a:round/>
      </a:ln>
    </unk3:spPr>
    <unk3:defRPr sz="900" kern="1200"/>
  </unk3:seriesAxis>
  <unk3:seriesLine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unk3:spPr>
  </unk3:seriesLine>
  <unk3:title>
    <unk3:lnRef idx="0"/>
    <unk3:fillRef idx="0"/>
    <unk3:effectRef idx="0"/>
    <unk3:fontRef idx="minor">
      <a:schemeClr val="lt1"/>
    </unk3:fontRef>
    <unk3:defRPr sz="1500" b="1" kern="1200" cap="all" spc="100" normalizeH="0" baseline="0"/>
  </unk3:title>
  <unk3:trendline>
    <unk3:lnRef idx="0"/>
    <unk3:fillRef idx="0"/>
    <unk3:effectRef idx="0"/>
    <unk3:fontRef idx="minor">
      <a:schemeClr val="dk1"/>
    </unk3:fontRef>
    <unk3:spPr>
      <a:ln w="28575" cap="rnd">
        <a:solidFill>
          <a:schemeClr val="lt1">
            <a:alpha val="50000"/>
          </a:schemeClr>
        </a:solidFill>
        <a:round/>
      </a:ln>
    </unk3:spPr>
  </unk3:trendline>
  <unk3:trendlineLabel>
    <unk3:lnRef idx="0"/>
    <unk3:fillRef idx="0"/>
    <unk3:effectRef idx="0"/>
    <unk3:fontRef idx="minor">
      <a:schemeClr val="lt1"/>
    </unk3:fontRef>
    <unk3:defRPr sz="900" kern="1200"/>
  </unk3:trendlineLabel>
  <unk3:upBar>
    <unk3:lnRef idx="0">
      <unk3:styleClr val="0"/>
    </unk3:lnRef>
    <unk3:fillRef idx="0"/>
    <unk3:effectRef idx="0"/>
    <unk3:fontRef idx="minor">
      <a:schemeClr val="dk1"/>
    </unk3:fontRef>
    <unk3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unk3:spPr>
  </unk3:upBar>
  <unk3:valueAxis>
    <unk3:lnRef idx="0"/>
    <unk3:fillRef idx="0"/>
    <unk3:effectRef idx="0"/>
    <unk3:fontRef idx="minor">
      <a:schemeClr val="lt1"/>
    </unk3:fontRef>
    <unk3:defRPr sz="900" kern="1200"/>
  </unk3:valueAxis>
  <unk3:wall>
    <unk3:lnRef idx="0"/>
    <unk3:fillRef idx="0"/>
    <unk3:effectRef idx="0"/>
    <unk3:fontRef idx="minor">
      <a:schemeClr val="dk1"/>
    </unk3:fontRef>
  </unk3:wall>
</unk3:chartStyle>
</file>

<file path=xl/charts/style2.xml><?xml version="1.0" encoding="utf-8"?>
<unk3:chartStyle xmlns:a="http://schemas.openxmlformats.org/drawingml/2006/main" xmlns:unk3="http://schemas.microsoft.com/office/drawing/2012/chartStyle" id="260">
  <unk3:axisTitle>
    <unk3:lnRef idx="0"/>
    <unk3:fillRef idx="0"/>
    <unk3:effectRef idx="0"/>
    <unk3:fontRef idx="minor">
      <a:schemeClr val="lt1"/>
    </unk3:fontRef>
    <unk3:defRPr sz="900" b="1" kern="1200"/>
  </unk3:axisTitle>
  <unk3:categoryAxis>
    <unk3:lnRef idx="0">
      <unk3:styleClr val="0"/>
    </unk3:lnRef>
    <unk3:fillRef idx="0"/>
    <unk3:effectRef idx="0"/>
    <unk3:fontRef idx="minor">
      <a:schemeClr val="lt1"/>
    </unk3:fontRef>
    <unk3:spPr>
      <a:ln w="3175" cap="flat" cmpd="sng" algn="ctr">
        <a:solidFill>
          <a:schemeClr val="phClr">
            <a:lumMod val="60000"/>
            <a:lumOff val="40000"/>
          </a:schemeClr>
        </a:solidFill>
        <a:round/>
      </a:ln>
    </unk3:spPr>
    <unk3:defRPr sz="800" kern="1200" cap="all" spc="150" normalizeH="0" baseline="0"/>
  </unk3:categoryAxis>
  <unk3:chartArea>
    <unk3:lnRef idx="0">
      <unk3:styleClr val="0"/>
    </unk3:lnRef>
    <unk3:fillRef idx="0">
      <unk3:styleClr val="0"/>
    </unk3:fillRef>
    <unk3:effectRef idx="0"/>
    <unk3:fontRef idx="minor">
      <a:schemeClr val="dk1"/>
    </unk3:fontRef>
    <unk3:spPr>
      <a:solidFill>
        <a:schemeClr val="phClr"/>
      </a:solidFill>
      <a:ln w="9525" cap="flat" cmpd="sng" algn="ctr">
        <a:solidFill>
          <a:schemeClr val="phClr"/>
        </a:solidFill>
        <a:round/>
      </a:ln>
    </unk3:spPr>
    <unk3:defRPr sz="1000" kern="1200"/>
  </unk3:chartArea>
  <unk3:dataLabel>
    <unk3:lnRef idx="0">
      <unk3:styleClr val="0"/>
    </unk3:lnRef>
    <unk3:fillRef idx="0"/>
    <unk3:effectRef idx="0"/>
    <unk3:fontRef idx="minor">
      <unk3:styleClr val="0"/>
    </unk3:fontRef>
    <unk3:defRPr sz="900" b="1" kern="1200"/>
  </unk3:dataLabel>
  <unk3:dataLabelCallout>
    <unk3:lnRef idx="0">
      <unk3:styleClr val="0"/>
    </unk3:lnRef>
    <unk3:fillRef idx="0"/>
    <unk3:effectRef idx="0"/>
    <unk3:fontRef idx="minor">
      <unk3:styleClr val="0"/>
    </unk3:fontRef>
    <unk3:spPr>
      <a:solidFill>
        <a:schemeClr val="lt1"/>
      </a:solidFill>
      <a:ln>
        <a:solidFill>
          <a:schemeClr val="phClr"/>
        </a:solidFill>
      </a:ln>
    </unk3:spPr>
    <unk3:defRPr sz="900" b="1" kern="1200"/>
    <unk3:bodyPr rot="0" spcFirstLastPara="1" vertOverflow="clip" horzOverflow="clip" vert="horz" wrap="square" lIns="36576" tIns="18288" rIns="36576" bIns="18288" anchor="ctr" anchorCtr="1">
      <a:spAutoFit/>
    </unk3:bodyPr>
  </unk3:dataLabelCallout>
  <unk3:dataPoint>
    <unk3:lnRef idx="0">
      <unk3:styleClr val="0"/>
    </unk3:lnRef>
    <unk3:fillRef idx="0"/>
    <unk3:effectRef idx="0"/>
    <unk3:fontRef idx="minor">
      <a:schemeClr val="dk1"/>
    </unk3:fontRef>
    <unk3:spPr>
      <a:solidFill>
        <a:schemeClr val="lt1"/>
      </a:solidFill>
      <a:ln w="19050">
        <a:solidFill>
          <a:schemeClr val="phClr"/>
        </a:solidFill>
      </a:ln>
    </unk3:spPr>
  </unk3:dataPoint>
  <unk3:dataPoint3D>
    <unk3:lnRef idx="0"/>
    <unk3:fillRef idx="0">
      <unk3:styleClr val="auto"/>
    </unk3:fillRef>
    <unk3:effectRef idx="0"/>
    <unk3:fontRef idx="minor">
      <a:schemeClr val="dk1"/>
    </unk3:fontRef>
    <unk3:spPr>
      <a:solidFill>
        <a:schemeClr val="phClr"/>
      </a:solidFill>
    </unk3:spPr>
  </unk3:dataPoint3D>
  <unk3:dataPointLine>
    <unk3:lnRef idx="0">
      <unk3:styleClr val="auto"/>
    </unk3:lnRef>
    <unk3:fillRef idx="0"/>
    <unk3:effectRef idx="0">
      <unk3:styleClr val="auto"/>
    </unk3:effectRef>
    <unk3:fontRef idx="minor">
      <a:schemeClr val="dk1"/>
    </unk3:fontRef>
    <unk3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unk3:spPr>
  </unk3:dataPointLine>
  <unk3:dataPointMarker>
    <unk3:lnRef idx="0"/>
    <unk3:fillRef idx="0">
      <unk3:styleClr val="auto"/>
    </unk3:fillRef>
    <unk3:effectRef idx="0"/>
    <unk3:fontRef idx="minor">
      <a:schemeClr val="dk1"/>
    </unk3:fontRef>
    <unk3:spPr>
      <a:solidFill>
        <a:schemeClr val="phClr"/>
      </a:solidFill>
      <a:ln w="22225">
        <a:solidFill>
          <a:schemeClr val="lt1"/>
        </a:solidFill>
        <a:round/>
      </a:ln>
    </unk3:spPr>
  </unk3:dataPointMarker>
  <unk3:dataPointMarkerLayout symbol="circle" size="5"/>
  <unk3:dataPointWireframe>
    <unk3:lnRef idx="0">
      <unk3:styleClr val="auto"/>
    </unk3:lnRef>
    <unk3:fillRef idx="0"/>
    <unk3:effectRef idx="0"/>
    <unk3:fontRef idx="minor">
      <a:schemeClr val="dk1"/>
    </unk3:fontRef>
    <unk3:spPr>
      <a:ln w="9525" cap="rnd">
        <a:solidFill>
          <a:schemeClr val="phClr"/>
        </a:solidFill>
        <a:round/>
      </a:ln>
    </unk3:spPr>
  </unk3:dataPointWireframe>
  <unk3:dataTable>
    <unk3:lnRef idx="0">
      <unk3:styleClr val="0"/>
    </unk3:lnRef>
    <unk3:fillRef idx="0"/>
    <unk3:effectRef idx="0"/>
    <unk3:fontRef idx="minor">
      <a:schemeClr val="lt1"/>
    </unk3:fontRef>
    <unk3:spPr>
      <a:ln w="9525">
        <a:solidFill>
          <a:schemeClr val="phClr">
            <a:lumMod val="60000"/>
            <a:lumOff val="40000"/>
          </a:schemeClr>
        </a:solidFill>
      </a:ln>
    </unk3:spPr>
    <unk3:defRPr sz="900" kern="1200"/>
  </unk3:dataTable>
  <unk3:downBar>
    <unk3:lnRef idx="0">
      <unk3:styleClr val="0"/>
    </unk3:lnRef>
    <unk3:fillRef idx="0"/>
    <unk3:effectRef idx="0"/>
    <unk3:fontRef idx="minor">
      <a:schemeClr val="dk1"/>
    </unk3:fontRef>
    <unk3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unk3:spPr>
  </unk3:downBar>
  <unk3:dropLine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</a:schemeClr>
        </a:solidFill>
        <a:prstDash val="dash"/>
      </a:ln>
    </unk3:spPr>
  </unk3:dropLine>
  <unk3:errorBar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unk3:spPr>
  </unk3:errorBar>
  <unk3:floor>
    <unk3:lnRef idx="0"/>
    <unk3:fillRef idx="0"/>
    <unk3:effectRef idx="0"/>
    <unk3:fontRef idx="minor">
      <a:schemeClr val="dk1"/>
    </unk3:fontRef>
  </unk3:floor>
  <unk3:gridlineMajor>
    <unk3:lnRef idx="0">
      <unk3:styleClr val="0"/>
    </unk3:lnRef>
    <unk3:fillRef idx="0"/>
    <unk3:effectRef idx="0"/>
    <unk3:fontRef idx="minor">
      <a:schemeClr val="dk1"/>
    </unk3:fontRef>
    <unk3:spPr>
      <a:ln w="9525" cap="flat" cmpd="sng" algn="ctr">
        <a:solidFill>
          <a:schemeClr val="lt1">
            <a:alpha val="25000"/>
          </a:schemeClr>
        </a:solidFill>
        <a:round/>
      </a:ln>
    </unk3:spPr>
  </unk3:gridlineMajor>
  <unk3:gridlineMinor>
    <unk3:lnRef idx="0">
      <unk3:styleClr val="0"/>
    </unk3:lnRef>
    <unk3:fillRef idx="0"/>
    <unk3:effectRef idx="0"/>
    <unk3:fontRef idx="minor">
      <a:schemeClr val="dk1"/>
    </unk3:fontRef>
    <unk3:spPr>
      <a:ln>
        <a:solidFill>
          <a:schemeClr val="lt1">
            <a:alpha val="10000"/>
          </a:schemeClr>
        </a:solidFill>
      </a:ln>
    </unk3:spPr>
  </unk3:gridlineMinor>
  <unk3:hiLoLine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</a:schemeClr>
        </a:solidFill>
        <a:prstDash val="dash"/>
      </a:ln>
    </unk3:spPr>
  </unk3:hiLoLine>
  <unk3:leaderLine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</a:schemeClr>
        </a:solidFill>
      </a:ln>
    </unk3:spPr>
  </unk3:leaderLine>
  <unk3:legend>
    <unk3:lnRef idx="0"/>
    <unk3:fillRef idx="0"/>
    <unk3:effectRef idx="0"/>
    <unk3:fontRef idx="minor">
      <a:schemeClr val="lt1"/>
    </unk3:fontRef>
    <unk3:defRPr sz="900" kern="1200"/>
  </unk3:legend>
  <unk3:plotArea>
    <unk3:lnRef idx="0"/>
    <unk3:fillRef idx="0"/>
    <unk3:effectRef idx="0"/>
    <unk3:fontRef idx="minor">
      <a:schemeClr val="dk1"/>
    </unk3:fontRef>
  </unk3:plotArea>
  <unk3:plotArea3D>
    <unk3:lnRef idx="0"/>
    <unk3:fillRef idx="0"/>
    <unk3:effectRef idx="0"/>
    <unk3:fontRef idx="minor">
      <a:schemeClr val="dk1"/>
    </unk3:fontRef>
  </unk3:plotArea3D>
  <unk3:seriesAxis>
    <unk3:lnRef idx="0">
      <unk3:styleClr val="0"/>
    </unk3:lnRef>
    <unk3:fillRef idx="0"/>
    <unk3:effectRef idx="0"/>
    <unk3:fontRef idx="minor">
      <a:schemeClr val="lt1"/>
    </unk3:fontRef>
    <unk3:spPr>
      <a:ln w="3175" cap="flat" cmpd="sng" algn="ctr">
        <a:solidFill>
          <a:schemeClr val="phClr">
            <a:lumMod val="60000"/>
            <a:lumOff val="40000"/>
          </a:schemeClr>
        </a:solidFill>
        <a:round/>
      </a:ln>
    </unk3:spPr>
    <unk3:defRPr sz="900" kern="1200"/>
  </unk3:seriesAxis>
  <unk3:seriesLine>
    <unk3:lnRef idx="0">
      <unk3:styleClr val="0"/>
    </unk3:lnRef>
    <unk3:fillRef idx="0"/>
    <unk3:effectRef idx="0"/>
    <unk3:fontRef idx="minor">
      <a:schemeClr val="dk1"/>
    </unk3:fontRef>
    <unk3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unk3:spPr>
  </unk3:seriesLine>
  <unk3:title>
    <unk3:lnRef idx="0"/>
    <unk3:fillRef idx="0"/>
    <unk3:effectRef idx="0"/>
    <unk3:fontRef idx="minor">
      <a:schemeClr val="lt1"/>
    </unk3:fontRef>
    <unk3:defRPr sz="1500" b="1" kern="1200" cap="all" spc="100" normalizeH="0" baseline="0"/>
  </unk3:title>
  <unk3:trendline>
    <unk3:lnRef idx="0"/>
    <unk3:fillRef idx="0"/>
    <unk3:effectRef idx="0"/>
    <unk3:fontRef idx="minor">
      <a:schemeClr val="dk1"/>
    </unk3:fontRef>
    <unk3:spPr>
      <a:ln w="28575" cap="rnd">
        <a:solidFill>
          <a:schemeClr val="lt1">
            <a:alpha val="50000"/>
          </a:schemeClr>
        </a:solidFill>
        <a:round/>
      </a:ln>
    </unk3:spPr>
  </unk3:trendline>
  <unk3:trendlineLabel>
    <unk3:lnRef idx="0"/>
    <unk3:fillRef idx="0"/>
    <unk3:effectRef idx="0"/>
    <unk3:fontRef idx="minor">
      <a:schemeClr val="lt1"/>
    </unk3:fontRef>
    <unk3:defRPr sz="900" kern="1200"/>
  </unk3:trendlineLabel>
  <unk3:upBar>
    <unk3:lnRef idx="0">
      <unk3:styleClr val="0"/>
    </unk3:lnRef>
    <unk3:fillRef idx="0"/>
    <unk3:effectRef idx="0"/>
    <unk3:fontRef idx="minor">
      <a:schemeClr val="dk1"/>
    </unk3:fontRef>
    <unk3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unk3:spPr>
  </unk3:upBar>
  <unk3:valueAxis>
    <unk3:lnRef idx="0"/>
    <unk3:fillRef idx="0"/>
    <unk3:effectRef idx="0"/>
    <unk3:fontRef idx="minor">
      <a:schemeClr val="lt1"/>
    </unk3:fontRef>
    <unk3:defRPr sz="900" kern="1200"/>
  </unk3:valueAxis>
  <unk3:wall>
    <unk3:lnRef idx="0"/>
    <unk3:fillRef idx="0"/>
    <unk3:effectRef idx="0"/>
    <unk3:fontRef idx="minor">
      <a:schemeClr val="dk1"/>
    </unk3:fontRef>
  </unk3:wall>
</unk3:chartStyl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Relationship Target="../charts/chart2.xml" Type="http://schemas.openxmlformats.org/officeDocument/2006/relationships/chart" Id="rId2"/></Relationships>
</file>

<file path=xl/drawings/drawing1.xml><?xml version="1.0" encoding="utf-8"?>
<xdr:wsDr xmlns:unk6="http://schemas.microsoft.com/office/drawing/2014/main" xmlns:a="http://schemas.openxmlformats.org/drawingml/2006/main" xmlns:xdr="http://schemas.openxmlformats.org/drawingml/2006/spreadsheetDrawing" xmlns:r="http://schemas.openxmlformats.org/officeDocument/2006/relationships" xmlns:c="http://schemas.openxmlformats.org/drawingml/2006/chart">
  <xdr:twoCellAnchor>
    <xdr:from>
      <xdr:col>0</xdr:col>
      <xdr:colOff>213360</xdr:colOff>
      <xdr:row>12</xdr:row>
      <xdr:rowOff>38100</xdr:rowOff>
    </xdr:from>
    <xdr:to>
      <xdr:col>4</xdr:col>
      <xdr:colOff>571500</xdr:colOff>
      <xdr:row>31</xdr:row>
      <xdr:rowOff>91440</xdr:rowOff>
    </xdr:to>
    <xdr:graphicFrame macro="">
      <xdr:nvGraphicFramePr>
        <xdr:cNvPr id="2" name="Диаграмма 1">
          <a:extLst>
            <a:ext uri="{FF2B5EF4-FFF2-40B4-BE49-F238E27FC236}">
              <unk6:creationId id="{6EAAF6F4-E9AA-4411-9C67-C81F0A96F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5</xdr:col>
      <xdr:colOff>60960</xdr:colOff>
      <xdr:row>12</xdr:row>
      <xdr:rowOff>45720</xdr:rowOff>
    </xdr:from>
    <xdr:to>
      <xdr:col>12</xdr:col>
      <xdr:colOff>594360</xdr:colOff>
      <xdr:row>31</xdr:row>
      <xdr:rowOff>76200</xdr:rowOff>
    </xdr:to>
    <xdr:graphicFrame macro="">
      <xdr:nvGraphicFramePr>
        <xdr:cNvPr id="3" name="Диаграмма 2">
          <a:extLst>
            <a:ext uri="{FF2B5EF4-FFF2-40B4-BE49-F238E27FC236}">
              <unk6:creationId id="{F999D3FB-4EDB-4E37-B952-9F7EBC45D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thm15="http://schemas.microsoft.com/office/thememl/2012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xr="http://schemas.microsoft.com/office/spreadsheetml/2014/revision"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mc:Ignorable="x14ac xr xr2 xr3" xr:uid="{F436D840-C437-47FB-9485-919E0D802AC1}">
  <s:dimension ref="A1:AA44"/>
  <s:sheetViews>
    <s:sheetView tabSelected="0" zoomScale="70" zoomScaleNormal="70" workbookViewId="0">
      <s:pane ySplit="3" topLeftCell="A4" activePane="bottomLeft" state="frozen"/>
      <s:selection activeCell="C15" sqref="C15:D15"/>
      <s:selection pane="bottomLeft" activeCell="I5" sqref="I5"/>
    </s:sheetView>
  </s:sheetViews>
  <s:sheetFormatPr x14ac:dyDescent="0.3" defaultColWidth="10" defaultRowHeight="14.4" outlineLevelRow="1" outlineLevelCol="1"/>
  <s:cols>
    <s:col min="1" max="1" width="3.332" customWidth="1"/>
    <s:col min="2" max="2" width="6.664" style="1" bestFit="1" customWidth="1"/>
    <s:col min="3" max="4" width="36.777" style="2" customWidth="1"/>
    <s:col min="5" max="5" width="40.109" style="2" customWidth="1"/>
    <s:col min="6" max="6" width="12.219" style="2" customWidth="1" outlineLevel="1"/>
    <s:col min="7" max="7" width="10.219" style="2" customWidth="1" outlineLevel="1"/>
    <s:col min="8" max="8" width="10" style="2" customWidth="1" outlineLevel="1"/>
    <s:col min="9" max="9" width="13.777" bestFit="1" customWidth="1" outlineLevel="1"/>
    <s:col min="10" max="10" width="15.555" bestFit="1" customWidth="1" outlineLevel="1"/>
    <s:col min="11" max="11" width="17.031" bestFit="1" customWidth="1" outlineLevel="1"/>
    <s:col min="12" max="13" width="13.777" bestFit="1" customWidth="1" outlineLevel="1"/>
    <s:col min="14" max="14" width="14.219" bestFit="1" customWidth="1" outlineLevel="1"/>
    <s:col min="15" max="15" width="14" bestFit="1" customWidth="1" outlineLevel="1"/>
    <s:col min="16" max="16" width="13.777" bestFit="1" customWidth="1" outlineLevel="1"/>
    <s:col min="17" max="17" width="52.332" style="2" customWidth="1"/>
    <s:col min="18" max="18" width="44.887" style="2" customWidth="1"/>
    <s:col min="19" max="26" width="11.887" customWidth="1" outlineLevel="1"/>
    <s:col min="27" max="27" width="11.887" customWidth="1"/>
  </s:cols>
  <s:sheetData>
    <s:row r="1" ht="15.75">
      <s:c r="A1" s="11"/>
      <s:c r="B1" s="102" t="s">
        <s:v>87</s:v>
      </s:c>
      <s:c r="C1" s="101" t="s">
        <s:v>88</s:v>
      </s:c>
      <s:c r="D1" s="101"/>
      <s:c r="E1" s="101" t="s">
        <s:v>0</s:v>
      </s:c>
      <s:c r="F1" s="101" t="s">
        <s:v>55</s:v>
      </s:c>
      <s:c r="G1" s="101"/>
      <s:c r="H1" s="101"/>
      <s:c r="I1" s="101" t="s">
        <s:v>62</s:v>
      </s:c>
      <s:c r="J1" s="101"/>
      <s:c r="K1" s="101"/>
      <s:c r="L1" s="101"/>
      <s:c r="M1" s="101"/>
      <s:c r="N1" s="101"/>
      <s:c r="O1" s="101"/>
      <s:c r="P1" s="101"/>
      <s:c r="Q1" s="41"/>
      <s:c r="R1" s="41"/>
      <s:c r="S1" s="116" t="s">
        <s:v>1</s:v>
      </s:c>
      <s:c r="T1" s="117"/>
      <s:c r="U1" s="117"/>
      <s:c r="V1" s="117"/>
      <s:c r="W1" s="117"/>
      <s:c r="X1" s="117"/>
      <s:c r="Y1" s="117"/>
      <s:c r="Z1" s="118"/>
      <s:c r="AA1" s="13"/>
    </s:row>
    <s:row r="2" ht="15.75">
      <s:c r="A2" s="11"/>
      <s:c r="B2" s="102"/>
      <s:c r="C2" s="101"/>
      <s:c r="D2" s="101"/>
      <s:c r="E2" s="101"/>
      <s:c r="F2" s="101"/>
      <s:c r="G2" s="101"/>
      <s:c r="H2" s="101"/>
      <s:c r="I2" s="119" t="s">
        <s:v>2</s:v>
      </s:c>
      <s:c r="J2" s="119"/>
      <s:c r="K2" s="119"/>
      <s:c r="L2" s="119"/>
      <s:c r="M2" s="119"/>
      <s:c r="N2" s="119"/>
      <s:c r="O2" s="119"/>
      <s:c r="P2" s="119"/>
      <s:c r="Q2" s="41"/>
      <s:c r="R2" s="41"/>
      <s:c r="S2" s="111" t="s">
        <s:v>2</s:v>
      </s:c>
      <s:c r="T2" s="112"/>
      <s:c r="U2" s="112"/>
      <s:c r="V2" s="112"/>
      <s:c r="W2" s="112"/>
      <s:c r="X2" s="112"/>
      <s:c r="Y2" s="112"/>
      <s:c r="Z2" s="113"/>
      <s:c r="AA2" s="14"/>
    </s:row>
    <s:row x14ac:dyDescent="0.3" r="3" spans="1:27" ht="25.2" customHeight="1">
      <s:c r="A3" s="11"/>
      <s:c r="B3" s="102"/>
      <s:c r="C3" s="101"/>
      <s:c r="D3" s="101"/>
      <s:c r="E3" s="101"/>
      <s:c r="F3" s="101" t="s">
        <s:v>24</s:v>
      </s:c>
      <s:c r="G3" s="101" t="s">
        <s:v>25</s:v>
      </s:c>
      <s:c r="H3" s="101" t="s">
        <s:v>26</s:v>
      </s:c>
      <s:c r="I3" s="16" t="s">
        <s:v>3</s:v>
      </s:c>
      <s:c r="J3" s="16" t="s">
        <s:v>4</s:v>
      </s:c>
      <s:c r="K3" s="16" t="s">
        <s:v>5</s:v>
      </s:c>
      <s:c r="L3" s="16" t="s">
        <s:v>6</s:v>
      </s:c>
      <s:c r="M3" s="16" t="s">
        <s:v>7</s:v>
      </s:c>
      <s:c r="N3" s="16" t="s">
        <s:v>110</s:v>
      </s:c>
      <s:c r="O3" s="16" t="s">
        <s:v>9</s:v>
      </s:c>
      <s:c r="P3" s="16" t="s">
        <s:v>111</s:v>
      </s:c>
      <s:c r="Q3" s="17" t="s">
        <s:v>11</s:v>
      </s:c>
      <s:c r="R3" s="17" t="s">
        <s:v>63</s:v>
      </s:c>
      <s:c r="S3" s="16" t="s">
        <s:v>3</s:v>
      </s:c>
      <s:c r="T3" s="16" t="s">
        <s:v>4</s:v>
      </s:c>
      <s:c r="U3" s="16" t="s">
        <s:v>5</s:v>
      </s:c>
      <s:c r="V3" s="16" t="s">
        <s:v>6</s:v>
      </s:c>
      <s:c r="W3" s="16" t="s">
        <s:v>7</s:v>
      </s:c>
      <s:c r="X3" s="16" t="s">
        <s:v>8</s:v>
      </s:c>
      <s:c r="Y3" s="16" t="s">
        <s:v>9</s:v>
      </s:c>
      <s:c r="Z3" s="16" t="s">
        <s:v>10</s:v>
      </s:c>
      <s:c r="AA3" s="15"/>
    </s:row>
    <s:row x14ac:dyDescent="0.3" r="4" spans="1:27" ht="17.4" customHeight="1">
      <s:c r="A4" s="11"/>
      <s:c r="B4" s="102"/>
      <s:c r="C4" s="101"/>
      <s:c r="D4" s="101"/>
      <s:c r="E4" s="101"/>
      <s:c r="F4" s="101"/>
      <s:c r="G4" s="101"/>
      <s:c r="H4" s="101"/>
      <s:c r="I4" s="40" t="s">
        <s:v>105</s:v>
      </s:c>
      <s:c r="J4" s="40" t="s">
        <s:v>106</s:v>
      </s:c>
      <s:c r="K4" s="40" t="s">
        <s:v>105</s:v>
      </s:c>
      <s:c r="L4" s="40" t="s">
        <s:v>107</s:v>
      </s:c>
      <s:c r="M4" s="40" t="s">
        <s:v>106</s:v>
      </s:c>
      <s:c r="N4" s="40" t="s">
        <s:v>106</s:v>
      </s:c>
      <s:c r="O4" s="40" t="s">
        <s:v>107</s:v>
      </s:c>
      <s:c r="P4" s="40" t="s">
        <s:v>105</s:v>
      </s:c>
      <s:c r="Q4" s="17"/>
      <s:c r="R4" s="17"/>
      <s:c r="S4" s="82"/>
      <s:c r="T4" s="82"/>
      <s:c r="U4" s="82"/>
      <s:c r="V4" s="82"/>
      <s:c r="W4" s="82"/>
      <s:c r="X4" s="82"/>
      <s:c r="Y4" s="82"/>
      <s:c r="Z4" s="82"/>
      <s:c r="AA4" s="15"/>
    </s:row>
    <s:row x14ac:dyDescent="0.3" r="5" spans="1:27" ht="14.4" customHeight="1">
      <s:c r="A5" s="11"/>
      <s:c r="B5" s="102"/>
      <s:c r="C5" s="101"/>
      <s:c r="D5" s="101"/>
      <s:c r="E5" s="101"/>
      <s:c r="F5" s="101"/>
      <s:c r="G5" s="101"/>
      <s:c r="H5" s="101"/>
      <s:c r="I5" s="85">
        <s:f>VLOOKUP(I4,Настройки!$A$26:$E$31,5,0)</s:f>
        <s:v>23120</s:v>
      </s:c>
      <s:c r="J5" s="85">
        <s:f>VLOOKUP(J4,Настройки!$A$26:$E$31,5,0)</s:f>
        <s:v>31280</s:v>
      </s:c>
      <s:c r="K5" s="85">
        <s:f>VLOOKUP(K4,Настройки!$A$26:$E$31,5,0)</s:f>
        <s:v>23120</s:v>
      </s:c>
      <s:c r="L5" s="85">
        <s:f>VLOOKUP(L4,Настройки!$A$26:$E$31,5,0)</s:f>
        <s:v>41760</s:v>
      </s:c>
      <s:c r="M5" s="85">
        <s:f>VLOOKUP(M4,Настройки!$A$26:$E$31,5,0)</s:f>
        <s:v>31280</s:v>
      </s:c>
      <s:c r="N5" s="85">
        <s:f>VLOOKUP(N4,Настройки!$A$26:$E$31,5,0)</s:f>
        <s:v>31280</s:v>
      </s:c>
      <s:c r="O5" s="85">
        <s:f>VLOOKUP(O4,Настройки!$A$26:$E$31,5,0)</s:f>
        <s:v>41760</s:v>
      </s:c>
      <s:c r="P5" s="85">
        <s:f>VLOOKUP(P4,Настройки!$A$26:$E$31,5,0)</s:f>
        <s:v>23120</s:v>
      </s:c>
      <s:c r="Q5" s="17"/>
      <s:c r="R5" s="17"/>
      <s:c r="S5" s="82"/>
      <s:c r="T5" s="82"/>
      <s:c r="U5" s="82"/>
      <s:c r="V5" s="82"/>
      <s:c r="W5" s="82"/>
      <s:c r="X5" s="82"/>
      <s:c r="Y5" s="82"/>
      <s:c r="Z5" s="82"/>
      <s:c r="AA5" s="15"/>
    </s:row>
    <s:row x14ac:dyDescent="0.3" r="6" spans="1:27" ht="14.4" customHeight="1">
      <s:c r="A6" s="11"/>
      <s:c r="B6" s="64"/>
      <s:c r="C6" s="65"/>
      <s:c r="D6" s="65"/>
      <s:c r="E6" s="66" t="s">
        <s:v>115</s:v>
      </s:c>
      <s:c r="F6" s="37">
        <s:v>1</s:v>
      </s:c>
      <s:c r="G6" s="37"/>
      <s:c r="H6" s="37"/>
      <s:c r="I6" s="67"/>
      <s:c r="J6" s="67"/>
      <s:c r="K6" s="67"/>
      <s:c r="L6" s="67"/>
      <s:c r="M6" s="67"/>
      <s:c r="N6" s="67"/>
      <s:c r="O6" s="67"/>
      <s:c r="P6" s="67"/>
      <s:c r="Q6" s="68"/>
      <s:c r="R6" s="68"/>
      <s:c r="S6" s="3"/>
      <s:c r="T6" s="3"/>
      <s:c r="U6" s="3"/>
      <s:c r="V6" s="3"/>
      <s:c r="W6" s="3"/>
      <s:c r="X6" s="3"/>
      <s:c r="Y6" s="3"/>
      <s:c r="Z6" s="3"/>
      <s:c r="AA6" s="15"/>
    </s:row>
    <s:row x14ac:dyDescent="0.3" r="7" spans="1:27" ht="14.4" customHeight="1">
      <s:c r="A7" s="11"/>
      <s:c r="B7" s="64"/>
      <s:c r="C7" s="65"/>
      <s:c r="D7" s="65"/>
      <s:c r="E7" s="66" t="s">
        <s:v>117</s:v>
      </s:c>
      <s:c r="F7" s="37">
        <s:v>1</s:v>
      </s:c>
      <s:c r="G7" s="37"/>
      <s:c r="H7" s="37"/>
      <s:c r="I7" s="67"/>
      <s:c r="J7" s="67"/>
      <s:c r="K7" s="67"/>
      <s:c r="L7" s="67"/>
      <s:c r="M7" s="67"/>
      <s:c r="N7" s="67"/>
      <s:c r="O7" s="67"/>
      <s:c r="P7" s="67"/>
      <s:c r="Q7" s="68"/>
      <s:c r="R7" s="68"/>
      <s:c r="S7" s="3"/>
      <s:c r="T7" s="3"/>
      <s:c r="U7" s="3"/>
      <s:c r="V7" s="3"/>
      <s:c r="W7" s="3"/>
      <s:c r="X7" s="3"/>
      <s:c r="Y7" s="3"/>
      <s:c r="Z7" s="3"/>
      <s:c r="AA7" s="15"/>
    </s:row>
    <s:row x14ac:dyDescent="0.3" r="8" spans="1:27" ht="14.4" customHeight="1">
      <s:c r="A8" s="11"/>
      <s:c r="B8" s="64"/>
      <s:c r="C8" s="65"/>
      <s:c r="D8" s="65"/>
      <s:c r="E8" s="66" t="s">
        <s:v>93</s:v>
      </s:c>
      <s:c r="F8" s="37" t="s">
        <s:v>50</s:v>
      </s:c>
      <s:c r="G8" s="37"/>
      <s:c r="H8" s="37"/>
      <s:c r="I8" s="67"/>
      <s:c r="J8" s="67"/>
      <s:c r="K8" s="67"/>
      <s:c r="L8" s="67"/>
      <s:c r="M8" s="67"/>
      <s:c r="N8" s="67"/>
      <s:c r="O8" s="67"/>
      <s:c r="P8" s="67"/>
      <s:c r="Q8" s="68"/>
      <s:c r="R8" s="68"/>
      <s:c r="S8" s="3"/>
      <s:c r="T8" s="3"/>
      <s:c r="U8" s="3"/>
      <s:c r="V8" s="3"/>
      <s:c r="W8" s="3"/>
      <s:c r="X8" s="3"/>
      <s:c r="Y8" s="3"/>
      <s:c r="Z8" s="3"/>
      <s:c r="AA8" s="15"/>
    </s:row>
    <s:row x14ac:dyDescent="0.3" r="9" spans="1:27" ht="14.4" customHeight="1">
      <s:c r="A9" s="11"/>
      <s:c r="B9" s="64"/>
      <s:c r="C9" s="65"/>
      <s:c r="D9" s="65"/>
      <s:c r="E9" s="66" t="s">
        <s:v>124</s:v>
      </s:c>
      <s:c r="F9" s="37">
        <s:v>1</s:v>
      </s:c>
      <s:c r="G9" s="37"/>
      <s:c r="H9" s="37"/>
      <s:c r="I9" s="67"/>
      <s:c r="J9" s="67"/>
      <s:c r="K9" s="67"/>
      <s:c r="L9" s="67"/>
      <s:c r="M9" s="67"/>
      <s:c r="N9" s="67"/>
      <s:c r="O9" s="67"/>
      <s:c r="P9" s="67"/>
      <s:c r="Q9" s="68"/>
      <s:c r="R9" s="68"/>
      <s:c r="S9" s="3"/>
      <s:c r="T9" s="3"/>
      <s:c r="U9" s="3"/>
      <s:c r="V9" s="3"/>
      <s:c r="W9" s="3"/>
      <s:c r="X9" s="3"/>
      <s:c r="Y9" s="3"/>
      <s:c r="Z9" s="3"/>
      <s:c r="AA9" s="15"/>
    </s:row>
    <s:row x14ac:dyDescent="0.3" r="10" spans="1:27" ht="14.4" customHeight="1">
      <s:c r="A10" s="11"/>
      <s:c r="B10" s="64"/>
      <s:c r="C10" s="65"/>
      <s:c r="D10" s="65"/>
      <s:c r="E10" s="66" t="s">
        <s:v>116</s:v>
      </s:c>
      <s:c r="F10" s="37">
        <s:v>1</s:v>
      </s:c>
      <s:c r="G10" s="37"/>
      <s:c r="H10" s="37"/>
      <s:c r="I10" s="67"/>
      <s:c r="J10" s="67"/>
      <s:c r="K10" s="67"/>
      <s:c r="L10" s="67"/>
      <s:c r="M10" s="67"/>
      <s:c r="N10" s="67"/>
      <s:c r="O10" s="67"/>
      <s:c r="P10" s="67"/>
      <s:c r="Q10" s="68"/>
      <s:c r="R10" s="68"/>
      <s:c r="S10" s="3"/>
      <s:c r="T10" s="3"/>
      <s:c r="U10" s="3"/>
      <s:c r="V10" s="3"/>
      <s:c r="W10" s="3"/>
      <s:c r="X10" s="3"/>
      <s:c r="Y10" s="3"/>
      <s:c r="Z10" s="3"/>
      <s:c r="AA10" s="15"/>
    </s:row>
    <s:row x14ac:dyDescent="0.3" r="11" spans="1:27" ht="39" customHeight="1">
      <s:c r="B11" s="98" t="s">
        <s:v>82</s:v>
      </s:c>
      <s:c r="C11" s="98"/>
      <s:c r="D11" s="98"/>
      <s:c r="E11" s="57"/>
      <s:c r="F11" s="57"/>
      <s:c r="G11" s="58"/>
      <s:c r="H11" s="58"/>
      <s:c r="I11" s="69">
        <s:f>SUM(I12:I16)</s:f>
        <s:v>3</s:v>
      </s:c>
      <s:c r="J11" s="69">
        <s:f>SUM(J12:J16)</s:f>
        <s:v>9.75</s:v>
      </s:c>
      <s:c r="K11" s="69">
        <s:f>SUM(K12:K16)</s:f>
        <s:v>9</s:v>
      </s:c>
      <s:c r="L11" s="69">
        <s:f>SUM(L12:L16)</s:f>
        <s:v>6.75</s:v>
      </s:c>
      <s:c r="M11" s="69">
        <s:f>SUM(M12:M16)</s:f>
        <s:v>5.5</s:v>
      </s:c>
      <s:c r="N11" s="69">
        <s:f>SUM(N12:N16)</s:f>
        <s:v>7.5</s:v>
      </s:c>
      <s:c r="O11" s="69">
        <s:f>SUM(O12:O16)</s:f>
        <s:v>13.25</s:v>
      </s:c>
      <s:c r="P11" s="69">
        <s:f>SUM(P12:P16)</s:f>
        <s:v>0</s:v>
      </s:c>
      <s:c r="Q11" s="61" t="s">
        <s:v>81</s:v>
      </s:c>
      <s:c r="R11" s="61"/>
      <s:c r="S11" s="62"/>
      <s:c r="T11" s="62"/>
      <s:c r="U11" s="62"/>
      <s:c r="V11" s="62"/>
      <s:c r="W11" s="62"/>
      <s:c r="X11" s="62"/>
      <s:c r="Y11" s="62"/>
      <s:c r="Z11" s="62"/>
    </s:row>
    <s:row x14ac:dyDescent="0.3" r="12" spans="1:27" ht="15.6" customHeight="1" outlineLevel="1">
      <s:c r="B12" s="70"/>
      <s:c r="C12" s="99" t="s">
        <s:v>76</s:v>
      </s:c>
      <s:c r="D12" s="99"/>
      <s:c r="E12" s="115" t="s">
        <s:v>112</s:v>
      </s:c>
      <s:c r="F12" s="114"/>
      <s:c r="G12" s="114"/>
      <s:c r="H12" s="114" t="s">
        <s:v>50</s:v>
      </s:c>
      <s:c r="I12" s="20">
        <s:f>IFERROR(S12*_xlfn.IFS($F$12&lt;&gt;"",0,$G$12&lt;&gt;"",0.5,$H$12&lt;&gt;"",1),0)</s:f>
        <s:v>2</s:v>
      </s:c>
      <s:c r="J12" s="20">
        <s:f>IFERROR(T12*_xlfn.IFS($F$12&lt;&gt;"",0,$G$12&lt;&gt;"",0.5,$H$12&lt;&gt;"",1),0)</s:f>
        <s:v>0.75</s:v>
      </s:c>
      <s:c r="K12" s="20">
        <s:f>IFERROR(U12*_xlfn.IFS($F$12&lt;&gt;"",0,$G$12&lt;&gt;"",0.5,$H$12&lt;&gt;"",1),0)</s:f>
        <s:v>0</s:v>
      </s:c>
      <s:c r="L12" s="20">
        <s:f>IFERROR(V12*_xlfn.IFS($F$12&lt;&gt;"",0,$G$12&lt;&gt;"",0.5,$H$12&lt;&gt;"",1),0)</s:f>
        <s:v>0.75</s:v>
      </s:c>
      <s:c r="M12" s="20">
        <s:f>IFERROR(W12*_xlfn.IFS($F$12&lt;&gt;"",0,$G$12&lt;&gt;"",0.5,$H$12&lt;&gt;"",1),0)</s:f>
        <s:v>0</s:v>
      </s:c>
      <s:c r="N12" s="20">
        <s:f>IFERROR(X12*_xlfn.IFS($F$12&lt;&gt;"",0,$G$12&lt;&gt;"",0.5,$H$12&lt;&gt;"",1),0)</s:f>
        <s:v>0</s:v>
      </s:c>
      <s:c r="O12" s="20">
        <s:f>IFERROR(Y12*_xlfn.IFS($F$12&lt;&gt;"",0,$G$12&lt;&gt;"",0.5,$H$12&lt;&gt;"",1),0)</s:f>
        <s:v>0.75</s:v>
      </s:c>
      <s:c r="P12" s="20">
        <s:f>IFERROR(Z12*_xlfn.IFS($F$12&lt;&gt;"",0,$G$12&lt;&gt;"",0.5,$H$12&lt;&gt;"",1),0)</s:f>
        <s:v>0</s:v>
      </s:c>
      <s:c r="Q12" s="5"/>
      <s:c r="R12" s="5"/>
      <s:c r="S12" s="18">
        <s:v>2</s:v>
      </s:c>
      <s:c r="T12" s="18">
        <s:v>0.75</s:v>
      </s:c>
      <s:c r="U12" s="18">
        <s:v>0</s:v>
      </s:c>
      <s:c r="V12" s="18">
        <s:v>0.75</s:v>
      </s:c>
      <s:c r="W12" s="18">
        <s:v>0</s:v>
      </s:c>
      <s:c r="X12" s="18">
        <s:v>0</s:v>
      </s:c>
      <s:c r="Y12" s="18">
        <s:v>0.75</s:v>
      </s:c>
      <s:c r="Z12" s="18">
        <s:v>0</s:v>
      </s:c>
      <s:c r="AA12" s="11"/>
    </s:row>
    <s:row x14ac:dyDescent="0.3" r="13" spans="1:27" ht="15.6" customHeight="1" outlineLevel="1">
      <s:c r="B13" s="70"/>
      <s:c r="C13" s="71" t="s">
        <s:v>77</s:v>
      </s:c>
      <s:c r="D13" s="72"/>
      <s:c r="E13" s="115"/>
      <s:c r="F13" s="114"/>
      <s:c r="G13" s="114"/>
      <s:c r="H13" s="114"/>
      <s:c r="I13" s="20">
        <s:f>IFERROR(S13*_xlfn.IFS($F$12&lt;&gt;"",0,$G$12&lt;&gt;"",0.5,$H$12&lt;&gt;"",1),0)</s:f>
        <s:v>0</s:v>
      </s:c>
      <s:c r="J13" s="20">
        <s:f>IFERROR(T13*_xlfn.IFS($F$12&lt;&gt;"",0,$G$12&lt;&gt;"",0.5,$H$12&lt;&gt;"",1),0)</s:f>
        <s:v>3.5</s:v>
      </s:c>
      <s:c r="K13" s="20">
        <s:f>IFERROR(U13*_xlfn.IFS($F$12&lt;&gt;"",0,$G$12&lt;&gt;"",0.5,$H$12&lt;&gt;"",1),0)</s:f>
        <s:v>3.5</s:v>
      </s:c>
      <s:c r="L13" s="20">
        <s:f>IFERROR(V13*_xlfn.IFS($F$12&lt;&gt;"",0,$G$12&lt;&gt;"",0.5,$H$12&lt;&gt;"",1),0)</s:f>
        <s:v>2</s:v>
      </s:c>
      <s:c r="M13" s="20">
        <s:f>IFERROR(W13*_xlfn.IFS($F$12&lt;&gt;"",0,$G$12&lt;&gt;"",0.5,$H$12&lt;&gt;"",1),0)</s:f>
        <s:v>0</s:v>
      </s:c>
      <s:c r="N13" s="20">
        <s:f>IFERROR(X13*_xlfn.IFS($F$12&lt;&gt;"",0,$G$12&lt;&gt;"",0.5,$H$12&lt;&gt;"",1),0)</s:f>
        <s:v>0</s:v>
      </s:c>
      <s:c r="O13" s="20">
        <s:f>IFERROR(Y13*_xlfn.IFS($F$12&lt;&gt;"",0,$G$12&lt;&gt;"",0.5,$H$12&lt;&gt;"",1),0)</s:f>
        <s:v>3.5</s:v>
      </s:c>
      <s:c r="P13" s="20">
        <s:f>IFERROR(Z13*_xlfn.IFS($F$12&lt;&gt;"",0,$G$12&lt;&gt;"",0.5,$H$12&lt;&gt;"",1),0)</s:f>
        <s:v>0</s:v>
      </s:c>
      <s:c r="Q13" s="5"/>
      <s:c r="R13" s="5"/>
      <s:c r="S13" s="18"/>
      <s:c r="T13" s="18">
        <s:v>3.5</s:v>
      </s:c>
      <s:c r="U13" s="18">
        <s:v>3.5</s:v>
      </s:c>
      <s:c r="V13" s="18">
        <s:v>2</s:v>
      </s:c>
      <s:c r="W13" s="18">
        <s:v>0</s:v>
      </s:c>
      <s:c r="X13" s="18">
        <s:v>0</s:v>
      </s:c>
      <s:c r="Y13" s="18">
        <s:v>3.5</s:v>
      </s:c>
      <s:c r="Z13" s="18">
        <s:v>0</s:v>
      </s:c>
      <s:c r="AA13" s="11"/>
    </s:row>
    <s:row x14ac:dyDescent="0.3" r="14" spans="1:27" ht="15.6" customHeight="1" outlineLevel="1">
      <s:c r="B14" s="70"/>
      <s:c r="C14" s="71" t="s">
        <s:v>78</s:v>
      </s:c>
      <s:c r="D14" s="72"/>
      <s:c r="E14" s="115"/>
      <s:c r="F14" s="114"/>
      <s:c r="G14" s="114"/>
      <s:c r="H14" s="114"/>
      <s:c r="I14" s="20">
        <s:f>IFERROR(S14*_xlfn.IFS($F$12&lt;&gt;"",0,$G$12&lt;&gt;"",0.5,$H$12&lt;&gt;"",1),0)</s:f>
        <s:v>0</s:v>
      </s:c>
      <s:c r="J14" s="20">
        <s:f>IFERROR(T14*_xlfn.IFS($F$12&lt;&gt;"",0,$G$12&lt;&gt;"",0.5,$H$12&lt;&gt;"",1),0)</s:f>
        <s:v>3.5</s:v>
      </s:c>
      <s:c r="K14" s="20">
        <s:f>IFERROR(U14*_xlfn.IFS($F$12&lt;&gt;"",0,$G$12&lt;&gt;"",0.5,$H$12&lt;&gt;"",1),0)</s:f>
        <s:v>3.5</s:v>
      </s:c>
      <s:c r="L14" s="20">
        <s:f>IFERROR(V14*_xlfn.IFS($F$12&lt;&gt;"",0,$G$12&lt;&gt;"",0.5,$H$12&lt;&gt;"",1),0)</s:f>
        <s:v>1</s:v>
      </s:c>
      <s:c r="M14" s="20">
        <s:f>IFERROR(W14*_xlfn.IFS($F$12&lt;&gt;"",0,$G$12&lt;&gt;"",0.5,$H$12&lt;&gt;"",1),0)</s:f>
        <s:v>3.5</s:v>
      </s:c>
      <s:c r="N14" s="20">
        <s:f>IFERROR(X14*_xlfn.IFS($F$12&lt;&gt;"",0,$G$12&lt;&gt;"",0.5,$H$12&lt;&gt;"",1),0)</s:f>
        <s:v>2</s:v>
      </s:c>
      <s:c r="O14" s="20">
        <s:f>IFERROR(Y14*_xlfn.IFS($F$12&lt;&gt;"",0,$G$12&lt;&gt;"",0.5,$H$12&lt;&gt;"",1),0)</s:f>
        <s:v>3.5</s:v>
      </s:c>
      <s:c r="P14" s="20">
        <s:f>IFERROR(Z14*_xlfn.IFS($F$12&lt;&gt;"",0,$G$12&lt;&gt;"",0.5,$H$12&lt;&gt;"",1),0)</s:f>
        <s:v>0</s:v>
      </s:c>
      <s:c r="Q14" s="5"/>
      <s:c r="R14" s="5"/>
      <s:c r="S14" s="18"/>
      <s:c r="T14" s="18">
        <s:v>3.5</s:v>
      </s:c>
      <s:c r="U14" s="18">
        <s:v>3.5</s:v>
      </s:c>
      <s:c r="V14" s="18">
        <s:v>1</s:v>
      </s:c>
      <s:c r="W14" s="18">
        <s:v>3.5</s:v>
      </s:c>
      <s:c r="X14" s="18">
        <s:v>2</s:v>
      </s:c>
      <s:c r="Y14" s="18">
        <s:v>3.5</s:v>
      </s:c>
      <s:c r="Z14" s="18">
        <s:v>0</s:v>
      </s:c>
      <s:c r="AA14" s="11"/>
    </s:row>
    <s:row x14ac:dyDescent="0.3" r="15" spans="1:27" ht="15.6" customHeight="1" outlineLevel="1">
      <s:c r="B15" s="70"/>
      <s:c r="C15" s="71" t="s">
        <s:v>79</s:v>
      </s:c>
      <s:c r="D15" s="72"/>
      <s:c r="E15" s="115"/>
      <s:c r="F15" s="114"/>
      <s:c r="G15" s="114"/>
      <s:c r="H15" s="114"/>
      <s:c r="I15" s="20">
        <s:f>IFERROR(S15*_xlfn.IFS($F$12&lt;&gt;"",0,$G$12&lt;&gt;"",0.5,$H$12&lt;&gt;"",1),0)</s:f>
        <s:v>0.25</s:v>
      </s:c>
      <s:c r="J15" s="20">
        <s:f>IFERROR(T15*_xlfn.IFS($F$12&lt;&gt;"",0,$G$12&lt;&gt;"",0.5,$H$12&lt;&gt;"",1),0)</s:f>
        <s:v>0</s:v>
      </s:c>
      <s:c r="K15" s="20">
        <s:f>IFERROR(U15*_xlfn.IFS($F$12&lt;&gt;"",0,$G$12&lt;&gt;"",0.5,$H$12&lt;&gt;"",1),0)</s:f>
        <s:v>0</s:v>
      </s:c>
      <s:c r="L15" s="20">
        <s:f>IFERROR(V15*_xlfn.IFS($F$12&lt;&gt;"",0,$G$12&lt;&gt;"",0.5,$H$12&lt;&gt;"",1),0)</s:f>
        <s:v>1</s:v>
      </s:c>
      <s:c r="M15" s="20">
        <s:f>IFERROR(W15*_xlfn.IFS($F$12&lt;&gt;"",0,$G$12&lt;&gt;"",0.5,$H$12&lt;&gt;"",1),0)</s:f>
        <s:v>0</s:v>
      </s:c>
      <s:c r="N15" s="20">
        <s:f>IFERROR(X15*_xlfn.IFS($F$12&lt;&gt;"",0,$G$12&lt;&gt;"",0.5,$H$12&lt;&gt;"",1),0)</s:f>
        <s:v>3.5</s:v>
      </s:c>
      <s:c r="O15" s="20">
        <s:f>IFERROR(Y15*_xlfn.IFS($F$12&lt;&gt;"",0,$G$12&lt;&gt;"",0.5,$H$12&lt;&gt;"",1),0)</s:f>
        <s:v>3.5</s:v>
      </s:c>
      <s:c r="P15" s="20">
        <s:f>IFERROR(Z15*_xlfn.IFS($F$12&lt;&gt;"",0,$G$12&lt;&gt;"",0.5,$H$12&lt;&gt;"",1),0)</s:f>
        <s:v>0</s:v>
      </s:c>
      <s:c r="Q15" s="5"/>
      <s:c r="R15" s="5"/>
      <s:c r="S15" s="18">
        <s:v>0.25</s:v>
      </s:c>
      <s:c r="T15" s="18">
        <s:v>0</s:v>
      </s:c>
      <s:c r="U15" s="18">
        <s:v>0</s:v>
      </s:c>
      <s:c r="V15" s="18">
        <s:v>1</s:v>
      </s:c>
      <s:c r="W15" s="18">
        <s:v>0</s:v>
      </s:c>
      <s:c r="X15" s="18">
        <s:v>3.5</s:v>
      </s:c>
      <s:c r="Y15" s="18">
        <s:v>3.5</s:v>
      </s:c>
      <s:c r="Z15" s="18">
        <s:v>0</s:v>
      </s:c>
      <s:c r="AA15" s="11"/>
    </s:row>
    <s:row x14ac:dyDescent="0.3" r="16" spans="1:27" ht="15.6" customHeight="1" outlineLevel="1">
      <s:c r="B16" s="70"/>
      <s:c r="C16" s="71" t="s">
        <s:v>80</s:v>
      </s:c>
      <s:c r="D16" s="72"/>
      <s:c r="E16" s="115"/>
      <s:c r="F16" s="114"/>
      <s:c r="G16" s="114"/>
      <s:c r="H16" s="114"/>
      <s:c r="I16" s="20">
        <s:f>IFERROR(S16*_xlfn.IFS($F$12&lt;&gt;"",0,$G$12&lt;&gt;"",0.5,$H$12&lt;&gt;"",1),0)</s:f>
        <s:v>0.75</s:v>
      </s:c>
      <s:c r="J16" s="20">
        <s:f>IFERROR(T16*_xlfn.IFS($F$12&lt;&gt;"",0,$G$12&lt;&gt;"",0.5,$H$12&lt;&gt;"",1),0)</s:f>
        <s:v>2</s:v>
      </s:c>
      <s:c r="K16" s="20">
        <s:f>IFERROR(U16*_xlfn.IFS($F$12&lt;&gt;"",0,$G$12&lt;&gt;"",0.5,$H$12&lt;&gt;"",1),0)</s:f>
        <s:v>2</s:v>
      </s:c>
      <s:c r="L16" s="20">
        <s:f>IFERROR(V16*_xlfn.IFS($F$12&lt;&gt;"",0,$G$12&lt;&gt;"",0.5,$H$12&lt;&gt;"",1),0)</s:f>
        <s:v>2</s:v>
      </s:c>
      <s:c r="M16" s="20">
        <s:f>IFERROR(W16*_xlfn.IFS($F$12&lt;&gt;"",0,$G$12&lt;&gt;"",0.5,$H$12&lt;&gt;"",1),0)</s:f>
        <s:v>2</s:v>
      </s:c>
      <s:c r="N16" s="20">
        <s:f>IFERROR(X16*_xlfn.IFS($F$12&lt;&gt;"",0,$G$12&lt;&gt;"",0.5,$H$12&lt;&gt;"",1),0)</s:f>
        <s:v>2</s:v>
      </s:c>
      <s:c r="O16" s="20">
        <s:f>IFERROR(Y16*_xlfn.IFS($F$12&lt;&gt;"",0,$G$12&lt;&gt;"",0.5,$H$12&lt;&gt;"",1),0)</s:f>
        <s:v>2</s:v>
      </s:c>
      <s:c r="P16" s="20">
        <s:f>IFERROR(Z16*_xlfn.IFS($F$12&lt;&gt;"",0,$G$12&lt;&gt;"",0.5,$H$12&lt;&gt;"",1),0)</s:f>
        <s:v>0</s:v>
      </s:c>
      <s:c r="Q16" s="5"/>
      <s:c r="R16" s="5"/>
      <s:c r="S16" s="18">
        <s:v>0.75</s:v>
      </s:c>
      <s:c r="T16" s="18">
        <s:v>2</s:v>
      </s:c>
      <s:c r="U16" s="18">
        <s:v>2</s:v>
      </s:c>
      <s:c r="V16" s="18">
        <s:v>2</s:v>
      </s:c>
      <s:c r="W16" s="18">
        <s:v>2</s:v>
      </s:c>
      <s:c r="X16" s="18">
        <s:v>2</s:v>
      </s:c>
      <s:c r="Y16" s="18">
        <s:v>2</s:v>
      </s:c>
      <s:c r="Z16" s="18">
        <s:v>0</s:v>
      </s:c>
      <s:c r="AA16" s="11"/>
    </s:row>
    <s:row x14ac:dyDescent="0.3" r="17" spans="2:27" ht="39" customHeight="1">
      <s:c r="B17" s="100" t="s">
        <s:v>61</s:v>
      </s:c>
      <s:c r="C17" s="100"/>
      <s:c r="D17" s="100"/>
      <s:c r="E17" s="73"/>
      <s:c r="F17" s="59"/>
      <s:c r="G17" s="60"/>
      <s:c r="H17" s="60"/>
      <s:c r="I17" s="69">
        <s:f>SUM(I18)</s:f>
        <s:v>3</s:v>
      </s:c>
      <s:c r="J17" s="69">
        <s:f>SUM(J18)</s:f>
        <s:v>5</s:v>
      </s:c>
      <s:c r="K17" s="69">
        <s:f>SUM(K18)</s:f>
        <s:v>5</s:v>
      </s:c>
      <s:c r="L17" s="69">
        <s:f>SUM(L18)</s:f>
        <s:v>3</s:v>
      </s:c>
      <s:c r="M17" s="69">
        <s:f>SUM(M18)</s:f>
        <s:v>1</s:v>
      </s:c>
      <s:c r="N17" s="69">
        <s:f>SUM(N18)</s:f>
        <s:v>0</s:v>
      </s:c>
      <s:c r="O17" s="69">
        <s:f>SUM(O18)</s:f>
        <s:v>0</s:v>
      </s:c>
      <s:c r="P17" s="69">
        <s:f>SUM(P18)</s:f>
        <s:v>5</s:v>
      </s:c>
      <s:c r="Q17" s="61" t="s">
        <s:v>70</s:v>
      </s:c>
      <s:c r="R17" s="61" t="s">
        <s:v>64</s:v>
      </s:c>
      <s:c r="S17" s="62"/>
      <s:c r="T17" s="62"/>
      <s:c r="U17" s="62"/>
      <s:c r="V17" s="62"/>
      <s:c r="W17" s="62"/>
      <s:c r="X17" s="62"/>
      <s:c r="Y17" s="62"/>
      <s:c r="Z17" s="62"/>
      <s:c r="AA17" s="12"/>
    </s:row>
    <s:row x14ac:dyDescent="0.3" r="18" spans="2:27" ht="41.4" customHeight="1" outlineLevel="1">
      <s:c r="B18" s="74"/>
      <s:c r="C18" s="103" t="s">
        <s:v>56</s:v>
      </s:c>
      <s:c r="D18" s="103"/>
      <s:c r="E18" s="75" t="s">
        <s:v>114</s:v>
      </s:c>
      <s:c r="F18" s="36">
        <s:f>F6</s:f>
        <s:v>1</s:v>
      </s:c>
      <s:c r="G18" s="36">
        <s:f>G6</s:f>
        <s:v>0</s:v>
      </s:c>
      <s:c r="H18" s="36">
        <s:f>H6</s:f>
        <s:v>0</s:v>
      </s:c>
      <s:c r="I18" s="21">
        <s:f>IFERROR(VLOOKUP(_xlfn.IFS((Настройки!$C$3*$F18+Настройки!$D$3*$G18+Настройки!$E$3*$H18)&lt;=VLOOKUP(Настройки!$K$3,Настройки!$H:$I,2,0),(Настройки!$C$3*$F18+Настройки!$D$3*$G18+Настройки!$E$3*$H18),(Настройки!$C$3*$F18+Настройки!$D$3*$G18+Настройки!$E$3*$H18)&gt;VLOOKUP(Настройки!$K$3,Настройки!$H:$I,2,0),VLOOKUP(Настройки!$K$3,Настройки!$H:$I,2,0)),Настройки!$I:$J,2,0)*S18,0)</s:f>
        <s:v>3</s:v>
      </s:c>
      <s:c r="J18" s="21">
        <s:f>IFERROR(VLOOKUP(_xlfn.IFS((Настройки!$C$3*$F18+Настройки!$D$3*$G18+Настройки!$E$3*$H18)&lt;=VLOOKUP(Настройки!$K$3,Настройки!$H:$I,2,0),(Настройки!$C$3*$F18+Настройки!$D$3*$G18+Настройки!$E$3*$H18),(Настройки!$C$3*$F18+Настройки!$D$3*$G18+Настройки!$E$3*$H18)&gt;VLOOKUP(Настройки!$K$3,Настройки!$H:$I,2,0),VLOOKUP(Настройки!$K$3,Настройки!$H:$I,2,0)),Настройки!$I:$J,2,0)*T18,0)</s:f>
        <s:v>5</s:v>
      </s:c>
      <s:c r="K18" s="21">
        <s:f>IFERROR(VLOOKUP(_xlfn.IFS((Настройки!$C$3*$F18+Настройки!$D$3*$G18+Настройки!$E$3*$H18)&lt;=VLOOKUP(Настройки!$K$3,Настройки!$H:$I,2,0),(Настройки!$C$3*$F18+Настройки!$D$3*$G18+Настройки!$E$3*$H18),(Настройки!$C$3*$F18+Настройки!$D$3*$G18+Настройки!$E$3*$H18)&gt;VLOOKUP(Настройки!$K$3,Настройки!$H:$I,2,0),VLOOKUP(Настройки!$K$3,Настройки!$H:$I,2,0)),Настройки!$I:$J,2,0)*U18,0)</s:f>
        <s:v>5</s:v>
      </s:c>
      <s:c r="L18" s="21">
        <s:f>IFERROR(VLOOKUP(_xlfn.IFS((Настройки!$C$3*$F18+Настройки!$D$3*$G18+Настройки!$E$3*$H18)&lt;=VLOOKUP(Настройки!$K$3,Настройки!$H:$I,2,0),(Настройки!$C$3*$F18+Настройки!$D$3*$G18+Настройки!$E$3*$H18),(Настройки!$C$3*$F18+Настройки!$D$3*$G18+Настройки!$E$3*$H18)&gt;VLOOKUP(Настройки!$K$3,Настройки!$H:$I,2,0),VLOOKUP(Настройки!$K$3,Настройки!$H:$I,2,0)),Настройки!$I:$J,2,0)*V18,0)</s:f>
        <s:v>3</s:v>
      </s:c>
      <s:c r="M18" s="21">
        <s:f>IFERROR(VLOOKUP(_xlfn.IFS((Настройки!$C$3*$F18+Настройки!$D$3*$G18+Настройки!$E$3*$H18)&lt;=VLOOKUP(Настройки!$K$3,Настройки!$H:$I,2,0),(Настройки!$C$3*$F18+Настройки!$D$3*$G18+Настройки!$E$3*$H18),(Настройки!$C$3*$F18+Настройки!$D$3*$G18+Настройки!$E$3*$H18)&gt;VLOOKUP(Настройки!$K$3,Настройки!$H:$I,2,0),VLOOKUP(Настройки!$K$3,Настройки!$H:$I,2,0)),Настройки!$I:$J,2,0)*W18,0)</s:f>
        <s:v>1</s:v>
      </s:c>
      <s:c r="N18" s="21">
        <s:f>IFERROR(VLOOKUP(_xlfn.IFS((Настройки!$C$3*$F18+Настройки!$D$3*$G18+Настройки!$E$3*$H18)&lt;=VLOOKUP(Настройки!$K$3,Настройки!$H:$I,2,0),(Настройки!$C$3*$F18+Настройки!$D$3*$G18+Настройки!$E$3*$H18),(Настройки!$C$3*$F18+Настройки!$D$3*$G18+Настройки!$E$3*$H18)&gt;VLOOKUP(Настройки!$K$3,Настройки!$H:$I,2,0),VLOOKUP(Настройки!$K$3,Настройки!$H:$I,2,0)),Настройки!$I:$J,2,0)*X18,0)</s:f>
        <s:v>0</s:v>
      </s:c>
      <s:c r="O18" s="21">
        <s:f>IFERROR(VLOOKUP(_xlfn.IFS((Настройки!$C$3*$F18+Настройки!$D$3*$G18+Настройки!$E$3*$H18)&lt;=VLOOKUP(Настройки!$K$3,Настройки!$H:$I,2,0),(Настройки!$C$3*$F18+Настройки!$D$3*$G18+Настройки!$E$3*$H18),(Настройки!$C$3*$F18+Настройки!$D$3*$G18+Настройки!$E$3*$H18)&gt;VLOOKUP(Настройки!$K$3,Настройки!$H:$I,2,0),VLOOKUP(Настройки!$K$3,Настройки!$H:$I,2,0)),Настройки!$I:$J,2,0)*Y18,0)</s:f>
        <s:v>0</s:v>
      </s:c>
      <s:c r="P18" s="21">
        <s:f>IFERROR(VLOOKUP(_xlfn.IFS((Настройки!$C$3*$F18+Настройки!$D$3*$G18+Настройки!$E$3*$H18)&lt;=VLOOKUP(Настройки!$K$3,Настройки!$H:$I,2,0),(Настройки!$C$3*$F18+Настройки!$D$3*$G18+Настройки!$E$3*$H18),(Настройки!$C$3*$F18+Настройки!$D$3*$G18+Настройки!$E$3*$H18)&gt;VLOOKUP(Настройки!$K$3,Настройки!$H:$I,2,0),VLOOKUP(Настройки!$K$3,Настройки!$H:$I,2,0)),Настройки!$I:$J,2,0)*Z18,0)</s:f>
        <s:v>5</s:v>
      </s:c>
      <s:c r="Q18" s="5"/>
      <s:c r="R18" s="5"/>
      <s:c r="S18" s="19">
        <s:v>3</s:v>
      </s:c>
      <s:c r="T18" s="19">
        <s:v>5</s:v>
      </s:c>
      <s:c r="U18" s="19">
        <s:v>5</s:v>
      </s:c>
      <s:c r="V18" s="19">
        <s:v>3</s:v>
      </s:c>
      <s:c r="W18" s="19">
        <s:v>1</s:v>
      </s:c>
      <s:c r="X18" s="19"/>
      <s:c r="Y18" s="19"/>
      <s:c r="Z18" s="19">
        <s:v>5</s:v>
      </s:c>
      <s:c r="AA18" s="12"/>
    </s:row>
    <s:row x14ac:dyDescent="0.3" r="19" spans="2:27" ht="39" customHeight="1">
      <s:c r="B19" s="100" t="s">
        <s:v>54</s:v>
      </s:c>
      <s:c r="C19" s="100"/>
      <s:c r="D19" s="100"/>
      <s:c r="E19" s="73"/>
      <s:c r="F19" s="59"/>
      <s:c r="G19" s="59"/>
      <s:c r="H19" s="59"/>
      <s:c r="I19" s="69">
        <s:f>SUM(I20:I26)</s:f>
        <s:v>2.25</s:v>
      </s:c>
      <s:c r="J19" s="69">
        <s:f>SUM(J20:J26)</s:f>
        <s:v>19</s:v>
      </s:c>
      <s:c r="K19" s="69">
        <s:f>SUM(K20:K26)</s:f>
        <s:v>16</s:v>
      </s:c>
      <s:c r="L19" s="69">
        <s:f>SUM(L20:L26)</s:f>
        <s:v>6</s:v>
      </s:c>
      <s:c r="M19" s="69">
        <s:f>SUM(M20:M26)</s:f>
        <s:v>1</s:v>
      </s:c>
      <s:c r="N19" s="69">
        <s:f>SUM(N20:N26)</s:f>
        <s:v>15</s:v>
      </s:c>
      <s:c r="O19" s="69">
        <s:f>SUM(O20:O26)</s:f>
        <s:v>1</s:v>
      </s:c>
      <s:c r="P19" s="69">
        <s:f>SUM(P20:P26)</s:f>
        <s:v>2</s:v>
      </s:c>
      <s:c r="Q19" s="61" t="s">
        <s:v>71</s:v>
      </s:c>
      <s:c r="R19" s="61" t="s">
        <s:v>65</s:v>
      </s:c>
      <s:c r="S19" s="62"/>
      <s:c r="T19" s="62"/>
      <s:c r="U19" s="62"/>
      <s:c r="V19" s="62"/>
      <s:c r="W19" s="62"/>
      <s:c r="X19" s="62"/>
      <s:c r="Y19" s="62"/>
      <s:c r="Z19" s="62"/>
      <s:c r="AA19" s="12"/>
    </s:row>
    <s:row r="20" ht="15.75">
      <s:c r="B20" s="74"/>
      <s:c r="C20" s="103" t="s">
        <s:v>29</s:v>
      </s:c>
      <s:c r="D20" s="103"/>
      <s:c r="E20" s="75" t="s">
        <s:v>118</s:v>
      </s:c>
      <s:c r="F20" s="36">
        <s:f>F7</s:f>
        <s:v>1</s:v>
      </s:c>
      <s:c r="G20" s="36">
        <s:v>2</s:v>
      </s:c>
      <s:c r="H20" s="36">
        <s:v>3</s:v>
      </s:c>
      <s:c r="I20" s="20">
        <s:f>IFERROR((VLOOKUP(SUMPRODUCT($F$20:$H$20,Настройки!$C$12:$E$12),Настройки!$N:$O,2,0))*S20,0)</s:f>
        <s:v>1</s:v>
      </s:c>
      <s:c r="J20" s="20">
        <s:f>IFERROR((VLOOKUP(SUMPRODUCT($F$20:$H$20,Настройки!$C$12:$E$12),Настройки!$N:$O,2,0))*T20,0)</s:f>
        <s:v>4</s:v>
      </s:c>
      <s:c r="K20" s="20">
        <s:f>IFERROR((VLOOKUP(SUMPRODUCT($F$20:$H$20,Настройки!$C$12:$E$12),Настройки!$N:$O,2,0))*U20,0)</s:f>
        <s:v>2</s:v>
      </s:c>
      <s:c r="L20" s="20">
        <s:f>IFERROR((VLOOKUP(SUMPRODUCT($F$20:$H$20,Настройки!$C$12:$E$12),Настройки!$N:$O,2,0))*V20,0)</s:f>
        <s:v>1</s:v>
      </s:c>
      <s:c r="M20" s="20">
        <s:f>IFERROR((VLOOKUP(SUMPRODUCT($F$20:$H$20,Настройки!$C$12:$E$12),Настройки!$N:$O,2,0))*W20,0)</s:f>
        <s:v>0</s:v>
      </s:c>
      <s:c r="N20" s="20">
        <s:f>IFERROR((VLOOKUP(SUMPRODUCT($F$20:$H$20,Настройки!$C$12:$E$12),Настройки!$N:$O,2,0))*X20,0)</s:f>
        <s:v>0</s:v>
      </s:c>
      <s:c r="O20" s="20">
        <s:f>IFERROR((VLOOKUP(SUMPRODUCT($F$20:$H$20,Настройки!$C$12:$E$12),Настройки!$N:$O,2,0))*Y20,0)</s:f>
        <s:v>0</s:v>
      </s:c>
      <s:c r="P20" s="20">
        <s:f>IFERROR((VLOOKUP(SUMPRODUCT($F$20:$H$20,Настройки!$C$12:$E$12),Настройки!$N:$O,2,0))*Z20,0)</s:f>
        <s:v>2</s:v>
      </s:c>
      <s:c r="Q20" s="5"/>
      <s:c r="R20" s="5"/>
      <s:c r="S20" s="19">
        <s:v>0.25</s:v>
      </s:c>
      <s:c r="T20" s="19">
        <s:v>1</s:v>
      </s:c>
      <s:c r="U20" s="19">
        <s:v>0.5</s:v>
      </s:c>
      <s:c r="V20" s="19">
        <s:v>0.25</s:v>
      </s:c>
      <s:c r="W20" s="19"/>
      <s:c r="X20" s="19"/>
      <s:c r="Y20" s="19"/>
      <s:c r="Z20" s="19">
        <s:v>0.5</s:v>
      </s:c>
      <s:c r="AA20" s="12"/>
    </s:row>
    <s:row r="21" ht="15.75">
      <s:c r="B21" s="76"/>
      <s:c r="C21" s="103" t="s">
        <s:v>13</s:v>
      </s:c>
      <s:c r="D21" s="103"/>
      <s:c r="E21" s="75" t="s">
        <s:v>41</s:v>
      </s:c>
      <s:c r="F21" s="35" t="str">
        <s:f>IF(F8="","",F8)</s:f>
        <s:v>х</s:v>
      </s:c>
      <s:c r="G21" s="35" t="str">
        <s:f>IF(G8="","",G8)</s:f>
        <s:v/>
      </s:c>
      <s:c r="H21" s="35" t="str">
        <s:f>IF(H8="","",H8)</s:f>
        <s:v/>
      </s:c>
      <s:c r="I21" s="20">
        <s:f>IFERROR(_xlfn.IFS($F21&lt;&gt;"",Настройки!$C$4,$G21&lt;&gt;"",Настройки!$D$4,$H21&lt;&gt;"",Настройки!$E$4)*S21,0)</s:f>
        <s:v>1</s:v>
      </s:c>
      <s:c r="J21" s="20">
        <s:f>IFERROR(_xlfn.IFS($F21&lt;&gt;"",Настройки!$C$4,$G21&lt;&gt;"",Настройки!$D$4,$H21&lt;&gt;"",Настройки!$E$4)*T21,0)</s:f>
        <s:v>1</s:v>
      </s:c>
      <s:c r="K21" s="20">
        <s:f>IFERROR(_xlfn.IFS($F21&lt;&gt;"",Настройки!$C$4,$G21&lt;&gt;"",Настройки!$D$4,$H21&lt;&gt;"",Настройки!$E$4)*U21,0)</s:f>
        <s:v>0</s:v>
      </s:c>
      <s:c r="L21" s="20">
        <s:f>IFERROR(_xlfn.IFS($F21&lt;&gt;"",Настройки!$C$4,$G21&lt;&gt;"",Настройки!$D$4,$H21&lt;&gt;"",Настройки!$E$4)*V21,0)</s:f>
        <s:v>3</s:v>
      </s:c>
      <s:c r="M21" s="20">
        <s:f>IFERROR(_xlfn.IFS($F21&lt;&gt;"",Настройки!$C$4,$G21&lt;&gt;"",Настройки!$D$4,$H21&lt;&gt;"",Настройки!$E$4)*W21,0)</s:f>
        <s:v>1</s:v>
      </s:c>
      <s:c r="N21" s="20">
        <s:f>IFERROR(_xlfn.IFS($F21&lt;&gt;"",Настройки!$C$4,$G21&lt;&gt;"",Настройки!$D$4,$H21&lt;&gt;"",Настройки!$E$4)*X21,0)</s:f>
        <s:v>1</s:v>
      </s:c>
      <s:c r="O21" s="20">
        <s:f>IFERROR(_xlfn.IFS($F21&lt;&gt;"",Настройки!$C$4,$G21&lt;&gt;"",Настройки!$D$4,$H21&lt;&gt;"",Настройки!$E$4)*Y21,0)</s:f>
        <s:v>1</s:v>
      </s:c>
      <s:c r="P21" s="20">
        <s:f>IFERROR(_xlfn.IFS($F21&lt;&gt;"",Настройки!$C$4,$G21&lt;&gt;"",Настройки!$D$4,$H21&lt;&gt;"",Настройки!$E$4)*Z21,0)</s:f>
        <s:v>0</s:v>
      </s:c>
      <s:c r="Q21" s="5"/>
      <s:c r="R21" s="5"/>
      <s:c r="S21" s="19">
        <s:v>1</s:v>
      </s:c>
      <s:c r="T21" s="19">
        <s:v>1</s:v>
      </s:c>
      <s:c r="U21" s="19"/>
      <s:c r="V21" s="19">
        <s:v>3</s:v>
      </s:c>
      <s:c r="W21" s="19">
        <s:v>1</s:v>
      </s:c>
      <s:c r="X21" s="19">
        <s:v>1</s:v>
      </s:c>
      <s:c r="Y21" s="19">
        <s:v>1</s:v>
      </s:c>
      <s:c r="Z21" s="19"/>
      <s:c r="AA21" s="12"/>
    </s:row>
    <s:row r="22" ht="15.75">
      <s:c r="B22" s="74"/>
      <s:c r="C22" s="103" t="s">
        <s:v>32</s:v>
      </s:c>
      <s:c r="D22" s="103"/>
      <s:c r="E22" s="75" t="s">
        <s:v>118</s:v>
      </s:c>
      <s:c r="F22" s="36">
        <s:f>F7</s:f>
        <s:v>1</s:v>
      </s:c>
      <s:c r="G22" s="36">
        <s:f>G7</s:f>
        <s:v>0</s:v>
      </s:c>
      <s:c r="H22" s="36">
        <s:f>H7</s:f>
        <s:v>0</s:v>
      </s:c>
      <s:c r="I22" s="20">
        <s:f>IFERROR((VLOOKUP(SUMPRODUCT($F$22:$H$22,Настройки!$C$13:$E$13),Настройки!$S:$T,2,0))*S22,0)</s:f>
        <s:v>0.25</s:v>
      </s:c>
      <s:c r="J22" s="20">
        <s:f>IFERROR((VLOOKUP(SUMPRODUCT($F$22:$H$22,Настройки!$C$13:$E$13),Настройки!$S:$T,2,0))*T22,0)</s:f>
        <s:v>1</s:v>
      </s:c>
      <s:c r="K22" s="20">
        <s:f>IFERROR((VLOOKUP(SUMPRODUCT($F$22:$H$22,Настройки!$C$13:$E$13),Настройки!$S:$T,2,0))*U22,0)</s:f>
        <s:v>1</s:v>
      </s:c>
      <s:c r="L22" s="20">
        <s:f>IFERROR((VLOOKUP(SUMPRODUCT($F$22:$H$22,Настройки!$C$13:$E$13),Настройки!$S:$T,2,0))*V22,0)</s:f>
        <s:v>0.5</s:v>
      </s:c>
      <s:c r="M22" s="20">
        <s:f>IFERROR((VLOOKUP(SUMPRODUCT($F$22:$H$22,Настройки!$C$13:$E$13),Настройки!$S:$T,2,0))*W22,0)</s:f>
        <s:v>0</s:v>
      </s:c>
      <s:c r="N22" s="20">
        <s:f>IFERROR((VLOOKUP(SUMPRODUCT($F$22:$H$22,Настройки!$C$13:$E$13),Настройки!$S:$T,2,0))*X22,0)</s:f>
        <s:v>1</s:v>
      </s:c>
      <s:c r="O22" s="20">
        <s:f>IFERROR((VLOOKUP(SUMPRODUCT($F$22:$H$22,Настройки!$C$13:$E$13),Настройки!$S:$T,2,0))*Y22,0)</s:f>
        <s:v>0</s:v>
      </s:c>
      <s:c r="P22" s="20">
        <s:f>IFERROR((VLOOKUP(SUMPRODUCT($F$22:$H$22,Настройки!$C$13:$E$13),Настройки!$S:$T,2,0))*Z22,0)</s:f>
        <s:v>0</s:v>
      </s:c>
      <s:c r="Q22" s="5"/>
      <s:c r="R22" s="5"/>
      <s:c r="S22" s="19">
        <s:v>0.25</s:v>
      </s:c>
      <s:c r="T22" s="19">
        <s:v>1</s:v>
      </s:c>
      <s:c r="U22" s="19">
        <s:v>1</s:v>
      </s:c>
      <s:c r="V22" s="19">
        <s:v>0.5</s:v>
      </s:c>
      <s:c r="W22" s="19"/>
      <s:c r="X22" s="19">
        <s:v>1</s:v>
      </s:c>
      <s:c r="Y22" s="19"/>
      <s:c r="Z22" s="19"/>
      <s:c r="AA22" s="12"/>
    </s:row>
    <s:row r="23" ht="15.75">
      <s:c r="B23" s="74"/>
      <s:c r="C23" s="103" t="s">
        <s:v>49</s:v>
      </s:c>
      <s:c r="D23" s="103"/>
      <s:c r="E23" s="75"/>
      <s:c r="F23" s="36"/>
      <s:c r="G23" s="36"/>
      <s:c r="H23" s="36"/>
      <s:c r="I23" s="20"/>
      <s:c r="J23" s="20"/>
      <s:c r="K23" s="20"/>
      <s:c r="L23" s="20"/>
      <s:c r="M23" s="20"/>
      <s:c r="N23" s="20"/>
      <s:c r="O23" s="20"/>
      <s:c r="P23" s="20"/>
      <s:c r="Q23" s="5"/>
      <s:c r="R23" s="5"/>
      <s:c r="S23" s="19"/>
      <s:c r="T23" s="19"/>
      <s:c r="U23" s="19"/>
      <s:c r="V23" s="19"/>
      <s:c r="W23" s="19"/>
      <s:c r="X23" s="19"/>
      <s:c r="Y23" s="19"/>
      <s:c r="Z23" s="19"/>
      <s:c r="AA23" s="12"/>
    </s:row>
    <s:row r="24" ht="38.25">
      <s:c r="B24" s="74"/>
      <s:c r="C24" s="76"/>
      <s:c r="D24" s="71" t="s">
        <s:v>14</s:v>
      </s:c>
      <s:c r="E24" s="75" t="s">
        <s:v>94</s:v>
      </s:c>
      <s:c r="F24" s="38" t="s">
        <s:v>50</s:v>
      </s:c>
      <s:c r="G24" s="38"/>
      <s:c r="H24" s="38"/>
      <s:c r="I24" s="20">
        <s:f>IFERROR(_xlfn.IFS($F24&lt;&gt;"",Настройки!$C$5,$G24&lt;&gt;"",Настройки!$D$5,$H24&lt;&gt;"",Настройки!$E$5)*S24,0)</s:f>
        <s:v>0</s:v>
      </s:c>
      <s:c r="J24" s="20">
        <s:f>IFERROR(_xlfn.IFS($F24&lt;&gt;"",Настройки!$C$5,$G24&lt;&gt;"",Настройки!$D$5,$H24&lt;&gt;"",Настройки!$E$5)*T24,0)</s:f>
        <s:v>5</s:v>
      </s:c>
      <s:c r="K24" s="20">
        <s:f>IFERROR(_xlfn.IFS($F24&lt;&gt;"",Настройки!$C$5,$G24&lt;&gt;"",Настройки!$D$5,$H24&lt;&gt;"",Настройки!$E$5)*U24,0)</s:f>
        <s:v>5</s:v>
      </s:c>
      <s:c r="L24" s="20">
        <s:f>IFERROR(_xlfn.IFS($F24&lt;&gt;"",Настройки!$C$5,$G24&lt;&gt;"",Настройки!$D$5,$H24&lt;&gt;"",Настройки!$E$5)*V24,0)</s:f>
        <s:v>0.5</s:v>
      </s:c>
      <s:c r="M24" s="20">
        <s:f>IFERROR(_xlfn.IFS($F24&lt;&gt;"",Настройки!$C$5,$G24&lt;&gt;"",Настройки!$D$5,$H24&lt;&gt;"",Настройки!$E$5)*W24,0)</s:f>
        <s:v>0</s:v>
      </s:c>
      <s:c r="N24" s="20">
        <s:f>IFERROR(_xlfn.IFS($F24&lt;&gt;"",Настройки!$C$5,$G24&lt;&gt;"",Настройки!$D$5,$H24&lt;&gt;"",Настройки!$E$5)*X24,0)</s:f>
        <s:v>5</s:v>
      </s:c>
      <s:c r="O24" s="20">
        <s:f>IFERROR(_xlfn.IFS($F24&lt;&gt;"",Настройки!$C$5,$G24&lt;&gt;"",Настройки!$D$5,$H24&lt;&gt;"",Настройки!$E$5)*Y24,0)</s:f>
        <s:v>0</s:v>
      </s:c>
      <s:c r="P24" s="20">
        <s:f>IFERROR(_xlfn.IFS($F24&lt;&gt;"",Настройки!$C$5,$G24&lt;&gt;"",Настройки!$D$5,$H24&lt;&gt;"",Настройки!$E$5)*Z24,0)</s:f>
        <s:v>0</s:v>
      </s:c>
      <s:c r="Q24" s="5"/>
      <s:c r="R24" s="5"/>
      <s:c r="S24" s="19"/>
      <s:c r="T24" s="19">
        <s:v>5</s:v>
      </s:c>
      <s:c r="U24" s="19">
        <s:v>5</s:v>
      </s:c>
      <s:c r="V24" s="19">
        <s:v>0.5</s:v>
      </s:c>
      <s:c r="W24" s="19"/>
      <s:c r="X24" s="19">
        <s:v>5</s:v>
      </s:c>
      <s:c r="Y24" s="19"/>
      <s:c r="Z24" s="19"/>
      <s:c r="AA24" s="12"/>
    </s:row>
    <s:row r="25" ht="50.25">
      <s:c r="B25" s="74"/>
      <s:c r="C25" s="76"/>
      <s:c r="D25" s="71" t="s">
        <s:v>15</s:v>
      </s:c>
      <s:c r="E25" s="75" t="s">
        <s:v>95</s:v>
      </s:c>
      <s:c r="F25" s="38" t="s">
        <s:v>50</s:v>
      </s:c>
      <s:c r="G25" s="38"/>
      <s:c r="H25" s="38"/>
      <s:c r="I25" s="20">
        <s:f>IFERROR(_xlfn.IFS($F25&lt;&gt;"",Настройки!$C$6,$G25&lt;&gt;"",Настройки!$D$6,$H25&lt;&gt;"",Настройки!$E$6)*S25,0)</s:f>
        <s:v>0</s:v>
      </s:c>
      <s:c r="J25" s="20">
        <s:f>IFERROR(_xlfn.IFS($F25&lt;&gt;"",Настройки!$C$6,$G25&lt;&gt;"",Настройки!$D$6,$H25&lt;&gt;"",Настройки!$E$6)*T25,0)</s:f>
        <s:v>5</s:v>
      </s:c>
      <s:c r="K25" s="20">
        <s:f>IFERROR(_xlfn.IFS($F25&lt;&gt;"",Настройки!$C$6,$G25&lt;&gt;"",Настройки!$D$6,$H25&lt;&gt;"",Настройки!$E$6)*U25,0)</s:f>
        <s:v>5</s:v>
      </s:c>
      <s:c r="L25" s="20">
        <s:f>IFERROR(_xlfn.IFS($F25&lt;&gt;"",Настройки!$C$6,$G25&lt;&gt;"",Настройки!$D$6,$H25&lt;&gt;"",Настройки!$E$6)*V25,0)</s:f>
        <s:v>0.5</s:v>
      </s:c>
      <s:c r="M25" s="20">
        <s:f>IFERROR(_xlfn.IFS($F25&lt;&gt;"",Настройки!$C$6,$G25&lt;&gt;"",Настройки!$D$6,$H25&lt;&gt;"",Настройки!$E$6)*W25,0)</s:f>
        <s:v>0</s:v>
      </s:c>
      <s:c r="N25" s="20">
        <s:f>IFERROR(_xlfn.IFS($F25&lt;&gt;"",Настройки!$C$6,$G25&lt;&gt;"",Настройки!$D$6,$H25&lt;&gt;"",Настройки!$E$6)*X25,0)</s:f>
        <s:v>5</s:v>
      </s:c>
      <s:c r="O25" s="20">
        <s:f>IFERROR(_xlfn.IFS($F25&lt;&gt;"",Настройки!$C$6,$G25&lt;&gt;"",Настройки!$D$6,$H25&lt;&gt;"",Настройки!$E$6)*Y25,0)</s:f>
        <s:v>0</s:v>
      </s:c>
      <s:c r="P25" s="20">
        <s:f>IFERROR(_xlfn.IFS($F25&lt;&gt;"",Настройки!$C$6,$G25&lt;&gt;"",Настройки!$D$6,$H25&lt;&gt;"",Настройки!$E$6)*Z25,0)</s:f>
        <s:v>0</s:v>
      </s:c>
      <s:c r="Q25" s="5"/>
      <s:c r="R25" s="5"/>
      <s:c r="S25" s="19"/>
      <s:c r="T25" s="19">
        <s:v>5</s:v>
      </s:c>
      <s:c r="U25" s="19">
        <s:v>5</s:v>
      </s:c>
      <s:c r="V25" s="19">
        <s:v>0.5</s:v>
      </s:c>
      <s:c r="W25" s="19"/>
      <s:c r="X25" s="19">
        <s:v>5</s:v>
      </s:c>
      <s:c r="Y25" s="19"/>
      <s:c r="Z25" s="19"/>
      <s:c r="AA25" s="12"/>
    </s:row>
    <s:row r="26" ht="38.25">
      <s:c r="B26" s="74"/>
      <s:c r="C26" s="76"/>
      <s:c r="D26" s="71" t="s">
        <s:v>16</s:v>
      </s:c>
      <s:c r="E26" s="75" t="s">
        <s:v>96</s:v>
      </s:c>
      <s:c r="F26" s="38" t="s">
        <s:v>50</s:v>
      </s:c>
      <s:c r="G26" s="38"/>
      <s:c r="H26" s="38"/>
      <s:c r="I26" s="20">
        <s:f>IFERROR(_xlfn.IFS($F26&lt;&gt;"",Настройки!$C$7,$G26&lt;&gt;"",Настройки!$D$7,$H26&lt;&gt;"",Настройки!$E$7)*S26,0)</s:f>
        <s:v>0</s:v>
      </s:c>
      <s:c r="J26" s="20">
        <s:f>IFERROR(_xlfn.IFS($F26&lt;&gt;"",Настройки!$C$7,$G26&lt;&gt;"",Настройки!$D$7,$H26&lt;&gt;"",Настройки!$E$7)*T26,0)</s:f>
        <s:v>3</s:v>
      </s:c>
      <s:c r="K26" s="20">
        <s:f>IFERROR(_xlfn.IFS($F26&lt;&gt;"",Настройки!$C$7,$G26&lt;&gt;"",Настройки!$D$7,$H26&lt;&gt;"",Настройки!$E$7)*U26,0)</s:f>
        <s:v>3</s:v>
      </s:c>
      <s:c r="L26" s="20">
        <s:f>IFERROR(_xlfn.IFS($F26&lt;&gt;"",Настройки!$C$7,$G26&lt;&gt;"",Настройки!$D$7,$H26&lt;&gt;"",Настройки!$E$7)*V26,0)</s:f>
        <s:v>0.5</s:v>
      </s:c>
      <s:c r="M26" s="20">
        <s:f>IFERROR(_xlfn.IFS($F26&lt;&gt;"",Настройки!$C$7,$G26&lt;&gt;"",Настройки!$D$7,$H26&lt;&gt;"",Настройки!$E$7)*W26,0)</s:f>
        <s:v>0</s:v>
      </s:c>
      <s:c r="N26" s="20">
        <s:f>IFERROR(_xlfn.IFS($F26&lt;&gt;"",Настройки!$C$7,$G26&lt;&gt;"",Настройки!$D$7,$H26&lt;&gt;"",Настройки!$E$7)*X26,0)</s:f>
        <s:v>3</s:v>
      </s:c>
      <s:c r="O26" s="20">
        <s:f>IFERROR(_xlfn.IFS($F26&lt;&gt;"",Настройки!$C$7,$G26&lt;&gt;"",Настройки!$D$7,$H26&lt;&gt;"",Настройки!$E$7)*Y26,0)</s:f>
        <s:v>0</s:v>
      </s:c>
      <s:c r="P26" s="20">
        <s:f>IFERROR(_xlfn.IFS($F26&lt;&gt;"",Настройки!$C$7,$G26&lt;&gt;"",Настройки!$D$7,$H26&lt;&gt;"",Настройки!$E$7)*Z26,0)</s:f>
        <s:v>0</s:v>
      </s:c>
      <s:c r="Q26" s="5"/>
      <s:c r="R26" s="5"/>
      <s:c r="S26" s="19"/>
      <s:c r="T26" s="19">
        <s:v>3</s:v>
      </s:c>
      <s:c r="U26" s="19">
        <s:v>3</s:v>
      </s:c>
      <s:c r="V26" s="19">
        <s:v>0.5</s:v>
      </s:c>
      <s:c r="W26" s="19"/>
      <s:c r="X26" s="19">
        <s:v>3</s:v>
      </s:c>
      <s:c r="Y26" s="19"/>
      <s:c r="Z26" s="19"/>
      <s:c r="AA26" s="12"/>
    </s:row>
    <s:row x14ac:dyDescent="0.3" r="27" spans="2:27" ht="39" customHeight="1">
      <s:c r="B27" s="100" t="s">
        <s:v>17</s:v>
      </s:c>
      <s:c r="C27" s="100"/>
      <s:c r="D27" s="100"/>
      <s:c r="E27" s="73"/>
      <s:c r="F27" s="59"/>
      <s:c r="G27" s="59"/>
      <s:c r="H27" s="59"/>
      <s:c r="I27" s="69">
        <s:f>SUM(I28:I30)</s:f>
        <s:v>1</s:v>
      </s:c>
      <s:c r="J27" s="69">
        <s:f>SUM(J28:J30)</s:f>
        <s:v>8</s:v>
      </s:c>
      <s:c r="K27" s="69">
        <s:f>SUM(K28:K30)</s:f>
        <s:v>5</s:v>
      </s:c>
      <s:c r="L27" s="69">
        <s:f>SUM(L28:L30)</s:f>
        <s:v>1</s:v>
      </s:c>
      <s:c r="M27" s="69">
        <s:f>SUM(M28:M30)</s:f>
        <s:v>3</s:v>
      </s:c>
      <s:c r="N27" s="69">
        <s:f>SUM(N28:N30)</s:f>
        <s:v>2</s:v>
      </s:c>
      <s:c r="O27" s="69">
        <s:f>SUM(O28:O30)</s:f>
        <s:v>7</s:v>
      </s:c>
      <s:c r="P27" s="69">
        <s:f>SUM(P28:P30)</s:f>
        <s:v>0</s:v>
      </s:c>
      <s:c r="Q27" s="61" t="s">
        <s:v>72</s:v>
      </s:c>
      <s:c r="R27" s="61" t="s">
        <s:v>66</s:v>
      </s:c>
      <s:c r="S27" s="62"/>
      <s:c r="T27" s="62"/>
      <s:c r="U27" s="62"/>
      <s:c r="V27" s="62"/>
      <s:c r="W27" s="62"/>
      <s:c r="X27" s="62"/>
      <s:c r="Y27" s="62"/>
      <s:c r="Z27" s="62"/>
      <s:c r="AA27" s="12"/>
    </s:row>
    <s:row r="28" ht="15.75">
      <s:c r="B28" s="74"/>
      <s:c r="C28" s="103" t="s">
        <s:v>33</s:v>
      </s:c>
      <s:c r="D28" s="103"/>
      <s:c r="E28" s="75" t="s">
        <s:v>123</s:v>
      </s:c>
      <s:c r="F28" s="36">
        <s:f>F9</s:f>
        <s:v>1</s:v>
      </s:c>
      <s:c r="G28" s="36">
        <s:f>G9</s:f>
        <s:v>0</s:v>
      </s:c>
      <s:c r="H28" s="36">
        <s:f>H9</s:f>
        <s:v>0</s:v>
      </s:c>
      <s:c r="I28" s="20">
        <s:f>IFERROR((VLOOKUP(SUMPRODUCT($F$28:$H$28,Настройки!$C$14:$E$14),Настройки!$X:$Y,2,0))*S28,0)</s:f>
        <s:v>0.25</s:v>
      </s:c>
      <s:c r="J28" s="20">
        <s:f>IFERROR((VLOOKUP(SUMPRODUCT($F$28:$H$28,Настройки!$C$14:$E$14),Настройки!$X:$Y,2,0))*T28,0)</s:f>
        <s:v>3</s:v>
      </s:c>
      <s:c r="K28" s="20">
        <s:f>IFERROR((VLOOKUP(SUMPRODUCT($F$28:$H$28,Настройки!$C$14:$E$14),Настройки!$X:$Y,2,0))*U28,0)</s:f>
        <s:v>3</s:v>
      </s:c>
      <s:c r="L28" s="20">
        <s:f>IFERROR((VLOOKUP(SUMPRODUCT($F$28:$H$28,Настройки!$C$14:$E$14),Настройки!$X:$Y,2,0))*V28,0)</s:f>
        <s:v>0</s:v>
      </s:c>
      <s:c r="M28" s="20">
        <s:f>IFERROR((VLOOKUP(SUMPRODUCT($F$28:$H$28,Настройки!$C$14:$E$14),Настройки!$X:$Y,2,0))*W28,0)</s:f>
        <s:v>3</s:v>
      </s:c>
      <s:c r="N28" s="20">
        <s:f>IFERROR((VLOOKUP(SUMPRODUCT($F$28:$H$28,Настройки!$C$14:$E$14),Настройки!$X:$Y,2,0))*X28,0)</s:f>
        <s:v>2</s:v>
      </s:c>
      <s:c r="O28" s="20">
        <s:f>IFERROR((VLOOKUP(SUMPRODUCT($F$28:$H$28,Настройки!$C$14:$E$14),Настройки!$X:$Y,2,0))*Y28,0)</s:f>
        <s:v>0</s:v>
      </s:c>
      <s:c r="P28" s="20">
        <s:f>IFERROR((VLOOKUP(SUMPRODUCT($F$28:$H$28,Настройки!$C$14:$E$14),Настройки!$X:$Y,2,0))*Z28,0)</s:f>
        <s:v>0</s:v>
      </s:c>
      <s:c r="Q28" s="5"/>
      <s:c r="R28" s="5"/>
      <s:c r="S28" s="19">
        <s:v>0.25</s:v>
      </s:c>
      <s:c r="T28" s="19">
        <s:v>3</s:v>
      </s:c>
      <s:c r="U28" s="19">
        <s:v>3</s:v>
      </s:c>
      <s:c r="V28" s="19"/>
      <s:c r="W28" s="19">
        <s:v>3</s:v>
      </s:c>
      <s:c r="X28" s="19">
        <s:v>2</s:v>
      </s:c>
      <s:c r="Y28" s="19"/>
      <s:c r="Z28" s="19"/>
      <s:c r="AA28" s="12"/>
    </s:row>
    <s:row r="29" ht="15.75">
      <s:c r="B29" s="74"/>
      <s:c r="C29" s="103" t="s">
        <s:v>34</s:v>
      </s:c>
      <s:c r="D29" s="103"/>
      <s:c r="E29" s="75" t="s">
        <s:v>123</s:v>
      </s:c>
      <s:c r="F29" s="36">
        <s:f>F9</s:f>
        <s:v>1</s:v>
      </s:c>
      <s:c r="G29" s="36">
        <s:f>G9</s:f>
        <s:v>0</s:v>
      </s:c>
      <s:c r="H29" s="36">
        <s:f>H9</s:f>
        <s:v>0</s:v>
      </s:c>
      <s:c r="I29" s="20">
        <s:f>IFERROR((VLOOKUP(SUMPRODUCT($F$29:$H$29,Настройки!$C$15:$E$15),Настройки!$AC:$AD,2,0))*S29,0)</s:f>
        <s:v>0.25</s:v>
      </s:c>
      <s:c r="J29" s="20">
        <s:f>IFERROR((VLOOKUP(SUMPRODUCT($F$29:$H$29,Настройки!$C$15:$E$15),Настройки!$AC:$AD,2,0))*T29,0)</s:f>
        <s:v>3</s:v>
      </s:c>
      <s:c r="K29" s="20">
        <s:f>IFERROR((VLOOKUP(SUMPRODUCT($F$29:$H$29,Настройки!$C$15:$E$15),Настройки!$AC:$AD,2,0))*U29,0)</s:f>
        <s:v>0</s:v>
      </s:c>
      <s:c r="L29" s="20">
        <s:f>IFERROR((VLOOKUP(SUMPRODUCT($F$29:$H$29,Настройки!$C$15:$E$15),Настройки!$AC:$AD,2,0))*V29,0)</s:f>
        <s:v>0.5</s:v>
      </s:c>
      <s:c r="M29" s="20">
        <s:f>IFERROR((VLOOKUP(SUMPRODUCT($F$29:$H$29,Настройки!$C$15:$E$15),Настройки!$AC:$AD,2,0))*W29,0)</s:f>
        <s:v>0</s:v>
      </s:c>
      <s:c r="N29" s="20">
        <s:f>IFERROR((VLOOKUP(SUMPRODUCT($F$29:$H$29,Настройки!$C$15:$E$15),Настройки!$AC:$AD,2,0))*X29,0)</s:f>
        <s:v>0</s:v>
      </s:c>
      <s:c r="O29" s="20">
        <s:f>IFERROR((VLOOKUP(SUMPRODUCT($F$29:$H$29,Настройки!$C$15:$E$15),Настройки!$AC:$AD,2,0))*Y29,0)</s:f>
        <s:v>5</s:v>
      </s:c>
      <s:c r="P29" s="20">
        <s:f>IFERROR((VLOOKUP(SUMPRODUCT($F$29:$H$29,Настройки!$C$15:$E$15),Настройки!$AC:$AD,2,0))*Z29,0)</s:f>
        <s:v>0</s:v>
      </s:c>
      <s:c r="Q29" s="5"/>
      <s:c r="R29" s="5"/>
      <s:c r="S29" s="19">
        <s:v>0.25</s:v>
      </s:c>
      <s:c r="T29" s="19">
        <s:v>3</s:v>
      </s:c>
      <s:c r="U29" s="19"/>
      <s:c r="V29" s="19">
        <s:v>0.5</s:v>
      </s:c>
      <s:c r="W29" s="19"/>
      <s:c r="X29" s="19"/>
      <s:c r="Y29" s="19">
        <s:v>5</s:v>
      </s:c>
      <s:c r="Z29" s="19"/>
      <s:c r="AA29" s="12"/>
    </s:row>
    <s:row r="30" ht="15.75">
      <s:c r="B30" s="74"/>
      <s:c r="C30" s="103" t="s">
        <s:v>57</s:v>
      </s:c>
      <s:c r="D30" s="103"/>
      <s:c r="E30" s="75" t="s">
        <s:v>123</s:v>
      </s:c>
      <s:c r="F30" s="36">
        <s:f>F9</s:f>
        <s:v>1</s:v>
      </s:c>
      <s:c r="G30" s="36">
        <s:f>G9</s:f>
        <s:v>0</s:v>
      </s:c>
      <s:c r="H30" s="36">
        <s:f>H9</s:f>
        <s:v>0</s:v>
      </s:c>
      <s:c r="I30" s="20">
        <s:f>IFERROR((VLOOKUP(SUMPRODUCT($F$30:$H$30,Настройки!$C$16:$E$16),Настройки!$AH:$AI,2,0))*S30,0)</s:f>
        <s:v>0.5</s:v>
      </s:c>
      <s:c r="J30" s="20">
        <s:f>IFERROR((VLOOKUP(SUMPRODUCT($F$30:$H$30,Настройки!$C$16:$E$16),Настройки!$AH:$AI,2,0))*T30,0)</s:f>
        <s:v>2</s:v>
      </s:c>
      <s:c r="K30" s="20">
        <s:f>IFERROR((VLOOKUP(SUMPRODUCT($F$30:$H$30,Настройки!$C$16:$E$16),Настройки!$AH:$AI,2,0))*U30,0)</s:f>
        <s:v>2</s:v>
      </s:c>
      <s:c r="L30" s="20">
        <s:f>IFERROR((VLOOKUP(SUMPRODUCT($F$30:$H$30,Настройки!$C$16:$E$16),Настройки!$AH:$AI,2,0))*V30,0)</s:f>
        <s:v>0.5</s:v>
      </s:c>
      <s:c r="M30" s="20">
        <s:f>IFERROR((VLOOKUP(SUMPRODUCT($F$30:$H$30,Настройки!$C$16:$E$16),Настройки!$AH:$AI,2,0))*W30,0)</s:f>
        <s:v>0</s:v>
      </s:c>
      <s:c r="N30" s="20">
        <s:f>IFERROR((VLOOKUP(SUMPRODUCT($F$30:$H$30,Настройки!$C$16:$E$16),Настройки!$AH:$AI,2,0))*X30,0)</s:f>
        <s:v>0</s:v>
      </s:c>
      <s:c r="O30" s="20">
        <s:f>IFERROR((VLOOKUP(SUMPRODUCT($F$30:$H$30,Настройки!$C$16:$E$16),Настройки!$AH:$AI,2,0))*Y30,0)</s:f>
        <s:v>2</s:v>
      </s:c>
      <s:c r="P30" s="20">
        <s:f>IFERROR((VLOOKUP(SUMPRODUCT($F$30:$H$30,Настройки!$C$16:$E$16),Настройки!$AH:$AI,2,0))*Z30,0)</s:f>
        <s:v>0</s:v>
      </s:c>
      <s:c r="Q30" s="5"/>
      <s:c r="R30" s="5"/>
      <s:c r="S30" s="19">
        <s:v>0.5</s:v>
      </s:c>
      <s:c r="T30" s="19">
        <s:v>2</s:v>
      </s:c>
      <s:c r="U30" s="19">
        <s:v>2</s:v>
      </s:c>
      <s:c r="V30" s="19">
        <s:v>0.5</s:v>
      </s:c>
      <s:c r="W30" s="19"/>
      <s:c r="X30" s="19"/>
      <s:c r="Y30" s="19">
        <s:v>2</s:v>
      </s:c>
      <s:c r="Z30" s="19"/>
      <s:c r="AA30" s="12"/>
    </s:row>
    <s:row x14ac:dyDescent="0.3" r="31" spans="2:27" ht="39" customHeight="1">
      <s:c r="B31" s="100" t="s">
        <s:v>18</s:v>
      </s:c>
      <s:c r="C31" s="100"/>
      <s:c r="D31" s="100"/>
      <s:c r="E31" s="77"/>
      <s:c r="F31" s="60"/>
      <s:c r="G31" s="60"/>
      <s:c r="H31" s="60"/>
      <s:c r="I31" s="69">
        <s:f>SUM(I32:I34)</s:f>
        <s:v>3.1</s:v>
      </s:c>
      <s:c r="J31" s="69">
        <s:f>SUM(J32:J34)</s:f>
        <s:v>3.25</s:v>
      </s:c>
      <s:c r="K31" s="69">
        <s:f>SUM(K32:K34)</s:f>
        <s:v>4</s:v>
      </s:c>
      <s:c r="L31" s="69">
        <s:f>SUM(L32:L34)</s:f>
        <s:v>3.1</s:v>
      </s:c>
      <s:c r="M31" s="69">
        <s:f>SUM(M32:M34)</s:f>
        <s:v>3.1</s:v>
      </s:c>
      <s:c r="N31" s="69">
        <s:f>SUM(N32:N34)</s:f>
        <s:v>0</s:v>
      </s:c>
      <s:c r="O31" s="69">
        <s:f>SUM(O32:O34)</s:f>
        <s:v>2.1</s:v>
      </s:c>
      <s:c r="P31" s="69">
        <s:f>SUM(P32:P34)</s:f>
        <s:v>0</s:v>
      </s:c>
      <s:c r="Q31" s="61" t="s">
        <s:v>73</s:v>
      </s:c>
      <s:c r="R31" s="61" t="s">
        <s:v>67</s:v>
      </s:c>
      <s:c r="S31" s="62"/>
      <s:c r="T31" s="62"/>
      <s:c r="U31" s="62"/>
      <s:c r="V31" s="62"/>
      <s:c r="W31" s="62"/>
      <s:c r="X31" s="62"/>
      <s:c r="Y31" s="62"/>
      <s:c r="Z31" s="62"/>
      <s:c r="AA31" s="12"/>
    </s:row>
    <s:row r="32" ht="26.25">
      <s:c r="B32" s="74"/>
      <s:c r="C32" s="103" t="s">
        <s:v>58</s:v>
      </s:c>
      <s:c r="D32" s="103"/>
      <s:c r="E32" s="75" t="s">
        <s:v>120</s:v>
      </s:c>
      <s:c r="F32" s="38" t="s">
        <s:v>90</s:v>
      </s:c>
      <s:c r="G32" s="38"/>
      <s:c r="H32" s="38"/>
      <s:c r="I32" s="20">
        <s:f>IFERROR(_xlfn.IFS($F32&lt;&gt;"",Настройки!$C$8,$G32&lt;&gt;"",Настройки!$D$8,$H32&lt;&gt;"",Настройки!$E$8)*S32,0)</s:f>
        <s:v>2</s:v>
      </s:c>
      <s:c r="J32" s="20">
        <s:f>IFERROR(_xlfn.IFS($F32&lt;&gt;"",Настройки!$C$8,$G32&lt;&gt;"",Настройки!$D$8,$H32&lt;&gt;"",Настройки!$E$8)*T32,0)</s:f>
        <s:v>2</s:v>
      </s:c>
      <s:c r="K32" s="20">
        <s:f>IFERROR(_xlfn.IFS($F32&lt;&gt;"",Настройки!$C$8,$G32&lt;&gt;"",Настройки!$D$8,$H32&lt;&gt;"",Настройки!$E$8)*U32,0)</s:f>
        <s:v>2</s:v>
      </s:c>
      <s:c r="L32" s="20">
        <s:f>IFERROR(_xlfn.IFS($F32&lt;&gt;"",Настройки!$C$8,$G32&lt;&gt;"",Настройки!$D$8,$H32&lt;&gt;"",Настройки!$E$8)*V32,0)</s:f>
        <s:v>2</s:v>
      </s:c>
      <s:c r="M32" s="20">
        <s:f>IFERROR(_xlfn.IFS($F32&lt;&gt;"",Настройки!$C$8,$G32&lt;&gt;"",Настройки!$D$8,$H32&lt;&gt;"",Настройки!$E$8)*W32,0)</s:f>
        <s:v>2</s:v>
      </s:c>
      <s:c r="N32" s="20">
        <s:f>IFERROR(_xlfn.IFS($F32&lt;&gt;"",Настройки!$C$8,$G32&lt;&gt;"",Настройки!$D$8,$H32&lt;&gt;"",Настройки!$E$8)*X32,0)</s:f>
        <s:v>0</s:v>
      </s:c>
      <s:c r="O32" s="20">
        <s:f>IFERROR(_xlfn.IFS($F32&lt;&gt;"",Настройки!$C$8,$G32&lt;&gt;"",Настройки!$D$8,$H32&lt;&gt;"",Настройки!$E$8)*Y32,0)</s:f>
        <s:v>1</s:v>
      </s:c>
      <s:c r="P32" s="20">
        <s:f>IFERROR(_xlfn.IFS($F32&lt;&gt;"",Настройки!$C$8,$G32&lt;&gt;"",Настройки!$D$8,$H32&lt;&gt;"",Настройки!$E$8)*Z32,0)</s:f>
        <s:v>0</s:v>
      </s:c>
      <s:c r="Q32" s="5"/>
      <s:c r="R32" s="5"/>
      <s:c r="S32" s="19">
        <s:v>2</s:v>
      </s:c>
      <s:c r="T32" s="19">
        <s:v>2</s:v>
      </s:c>
      <s:c r="U32" s="19">
        <s:v>2</s:v>
      </s:c>
      <s:c r="V32" s="19">
        <s:v>2</s:v>
      </s:c>
      <s:c r="W32" s="19">
        <s:v>2</s:v>
      </s:c>
      <s:c r="X32" s="19"/>
      <s:c r="Y32" s="19">
        <s:v>1</s:v>
      </s:c>
      <s:c r="Z32" s="19"/>
      <s:c r="AA32" s="12"/>
    </s:row>
    <s:row r="33" ht="15.75">
      <s:c r="B33" s="74"/>
      <s:c r="C33" s="103" t="s">
        <s:v>42</s:v>
      </s:c>
      <s:c r="D33" s="103"/>
      <s:c r="E33" s="75" t="s">
        <s:v>121</s:v>
      </s:c>
      <s:c r="F33" s="105">
        <s:v>1</s:v>
      </s:c>
      <s:c r="G33" s="105"/>
      <s:c r="H33" s="105"/>
      <s:c r="I33" s="20">
        <s:f>IFERROR($F$33*S33,0)</s:f>
        <s:v>0.1</s:v>
      </s:c>
      <s:c r="J33" s="20">
        <s:f>IFERROR($F$33*T33,0)</s:f>
        <s:v>0.25</s:v>
      </s:c>
      <s:c r="K33" s="20">
        <s:f>IFERROR($F$33*U33,0)</s:f>
        <s:v>1</s:v>
      </s:c>
      <s:c r="L33" s="20">
        <s:f>IFERROR($F$33*V33,0)</s:f>
        <s:v>0.1</s:v>
      </s:c>
      <s:c r="M33" s="20">
        <s:f>IFERROR($F$33*W33,0)</s:f>
        <s:v>0.1</s:v>
      </s:c>
      <s:c r="N33" s="20">
        <s:f>IFERROR($F$33*X33,0)</s:f>
        <s:v>0</s:v>
      </s:c>
      <s:c r="O33" s="20">
        <s:f>IFERROR($F$33*Y33,0)</s:f>
        <s:v>0.1</s:v>
      </s:c>
      <s:c r="P33" s="20">
        <s:f>IFERROR($F$33*Z33,0)</s:f>
        <s:v>0</s:v>
      </s:c>
      <s:c r="Q33" s="5"/>
      <s:c r="R33" s="5"/>
      <s:c r="S33" s="19">
        <s:v>0.1</s:v>
      </s:c>
      <s:c r="T33" s="19">
        <s:v>0.25</s:v>
      </s:c>
      <s:c r="U33" s="19">
        <s:v>1</s:v>
      </s:c>
      <s:c r="V33" s="19">
        <s:v>0.1</s:v>
      </s:c>
      <s:c r="W33" s="19">
        <s:v>0.1</s:v>
      </s:c>
      <s:c r="X33" s="19"/>
      <s:c r="Y33" s="19">
        <s:v>0.1</s:v>
      </s:c>
      <s:c r="Z33" s="19"/>
      <s:c r="AA33" s="12"/>
    </s:row>
    <s:row r="34" ht="15.75">
      <s:c r="B34" s="74"/>
      <s:c r="C34" s="103" t="s">
        <s:v>59</s:v>
      </s:c>
      <s:c r="D34" s="103"/>
      <s:c r="E34" s="75" t="s">
        <s:v>122</s:v>
      </s:c>
      <s:c r="F34" s="36">
        <s:f>F10</s:f>
        <s:v>1</s:v>
      </s:c>
      <s:c r="G34" s="36">
        <s:f>G10</s:f>
        <s:v>0</s:v>
      </s:c>
      <s:c r="H34" s="36">
        <s:f>H10</s:f>
        <s:v>0</s:v>
      </s:c>
      <s:c r="I34" s="20">
        <s:f>IFERROR((VLOOKUP(SUMPRODUCT($F$34:$H$34,Настройки!$C$17:$E$17),Настройки!$AM:$AN,2,0))*S34,0)</s:f>
        <s:v>1</s:v>
      </s:c>
      <s:c r="J34" s="20">
        <s:f>IFERROR((VLOOKUP(SUMPRODUCT($F$34:$H$34,Настройки!$C$17:$E$17),Настройки!$AM:$AN,2,0))*T34,0)</s:f>
        <s:v>1</s:v>
      </s:c>
      <s:c r="K34" s="20">
        <s:f>IFERROR((VLOOKUP(SUMPRODUCT($F$34:$H$34,Настройки!$C$17:$E$17),Настройки!$AM:$AN,2,0))*U34,0)</s:f>
        <s:v>1</s:v>
      </s:c>
      <s:c r="L34" s="20">
        <s:f>IFERROR((VLOOKUP(SUMPRODUCT($F$34:$H$34,Настройки!$C$17:$E$17),Настройки!$AM:$AN,2,0))*V34,0)</s:f>
        <s:v>1</s:v>
      </s:c>
      <s:c r="M34" s="20">
        <s:f>IFERROR((VLOOKUP(SUMPRODUCT($F$34:$H$34,Настройки!$C$17:$E$17),Настройки!$AM:$AN,2,0))*W34,0)</s:f>
        <s:v>1</s:v>
      </s:c>
      <s:c r="N34" s="20">
        <s:f>IFERROR((VLOOKUP(SUMPRODUCT($F$34:$H$34,Настройки!$C$17:$E$17),Настройки!$AM:$AN,2,0))*X34,0)</s:f>
        <s:v>0</s:v>
      </s:c>
      <s:c r="O34" s="20">
        <s:f>IFERROR((VLOOKUP(SUMPRODUCT($F$34:$H$34,Настройки!$C$17:$E$17),Настройки!$AM:$AN,2,0))*Y34,0)</s:f>
        <s:v>1</s:v>
      </s:c>
      <s:c r="P34" s="20">
        <s:f>IFERROR((VLOOKUP(SUMPRODUCT($F$34:$H$34,Настройки!$C$17:$E$17),Настройки!$AM:$AN,2,0))*Z34,0)</s:f>
        <s:v>0</s:v>
      </s:c>
      <s:c r="Q34" s="5"/>
      <s:c r="R34" s="5"/>
      <s:c r="S34" s="19">
        <s:v>1</s:v>
      </s:c>
      <s:c r="T34" s="19">
        <s:v>1</s:v>
      </s:c>
      <s:c r="U34" s="19">
        <s:v>1</s:v>
      </s:c>
      <s:c r="V34" s="19">
        <s:v>1</s:v>
      </s:c>
      <s:c r="W34" s="19">
        <s:v>1</s:v>
      </s:c>
      <s:c r="X34" s="19"/>
      <s:c r="Y34" s="19">
        <s:v>1</s:v>
      </s:c>
      <s:c r="Z34" s="19"/>
      <s:c r="AA34" s="12"/>
    </s:row>
    <s:row x14ac:dyDescent="0.3" r="35" spans="2:27" ht="39" customHeight="1">
      <s:c r="B35" s="100" t="s">
        <s:v>19</s:v>
      </s:c>
      <s:c r="C35" s="100"/>
      <s:c r="D35" s="100"/>
      <s:c r="E35" s="77"/>
      <s:c r="F35" s="60"/>
      <s:c r="G35" s="60"/>
      <s:c r="H35" s="60"/>
      <s:c r="I35" s="69">
        <s:f>SUM(I36:I38)</s:f>
        <s:v>2</s:v>
      </s:c>
      <s:c r="J35" s="69">
        <s:f>SUM(J36:J38)</s:f>
        <s:v>1.25</s:v>
      </s:c>
      <s:c r="K35" s="69">
        <s:f>SUM(K36:K38)</s:f>
        <s:v>3</s:v>
      </s:c>
      <s:c r="L35" s="69">
        <s:f>SUM(L36:L38)</s:f>
        <s:v>0.25</s:v>
      </s:c>
      <s:c r="M35" s="69">
        <s:f>SUM(M36:M38)</s:f>
        <s:v>0.25</s:v>
      </s:c>
      <s:c r="N35" s="69">
        <s:f>SUM(N36:N38)</s:f>
        <s:v>0.25</s:v>
      </s:c>
      <s:c r="O35" s="69">
        <s:f>SUM(O36:O38)</s:f>
        <s:v>1.75</s:v>
      </s:c>
      <s:c r="P35" s="69">
        <s:f>SUM(P36:P38)</s:f>
        <s:v>1.5</s:v>
      </s:c>
      <s:c r="Q35" s="61" t="s">
        <s:v>74</s:v>
      </s:c>
      <s:c r="R35" s="61" t="s">
        <s:v>68</s:v>
      </s:c>
      <s:c r="S35" s="62"/>
      <s:c r="T35" s="62"/>
      <s:c r="U35" s="62"/>
      <s:c r="V35" s="62"/>
      <s:c r="W35" s="62"/>
      <s:c r="X35" s="62"/>
      <s:c r="Y35" s="62"/>
      <s:c r="Z35" s="62"/>
      <s:c r="AA35" s="12"/>
    </s:row>
    <s:row r="36" ht="15.75">
      <s:c r="B36" s="74"/>
      <s:c r="C36" s="103" t="s">
        <s:v>44</s:v>
      </s:c>
      <s:c r="D36" s="103"/>
      <s:c r="E36" s="75" t="s">
        <s:v>122</s:v>
      </s:c>
      <s:c r="F36" s="36">
        <s:f>F10</s:f>
        <s:v>1</s:v>
      </s:c>
      <s:c r="G36" s="36">
        <s:f>G10</s:f>
        <s:v>0</s:v>
      </s:c>
      <s:c r="H36" s="36">
        <s:f>H10</s:f>
        <s:v>0</s:v>
      </s:c>
      <s:c r="I36" s="20">
        <s:f>IFERROR((VLOOKUP(SUMPRODUCT($F$36:$H$36,Настройки!$C$18:$E$18),Настройки!$AR:$AS,2,0))*S36,0)</s:f>
        <s:v>0</s:v>
      </s:c>
      <s:c r="J36" s="20">
        <s:f>IFERROR((VLOOKUP(SUMPRODUCT($F$36:$H$36,Настройки!$C$18:$E$18),Настройки!$AR:$AS,2,0))*T36,0)</s:f>
        <s:v>0.25</s:v>
      </s:c>
      <s:c r="K36" s="20">
        <s:f>IFERROR((VLOOKUP(SUMPRODUCT($F$36:$H$36,Настройки!$C$18:$E$18),Настройки!$AR:$AS,2,0))*U36,0)</s:f>
        <s:v>1</s:v>
      </s:c>
      <s:c r="L36" s="20">
        <s:f>IFERROR((VLOOKUP(SUMPRODUCT($F$36:$H$36,Настройки!$C$18:$E$18),Настройки!$AR:$AS,2,0))*V36,0)</s:f>
        <s:v>0</s:v>
      </s:c>
      <s:c r="M36" s="20">
        <s:f>IFERROR((VLOOKUP(SUMPRODUCT($F$36:$H$36,Настройки!$C$18:$E$18),Настройки!$AR:$AS,2,0))*W36,0)</s:f>
        <s:v>0</s:v>
      </s:c>
      <s:c r="N36" s="20">
        <s:f>IFERROR((VLOOKUP(SUMPRODUCT($F$36:$H$36,Настройки!$C$18:$E$18),Настройки!$AR:$AS,2,0))*X36,0)</s:f>
        <s:v>0</s:v>
      </s:c>
      <s:c r="O36" s="20">
        <s:f>IFERROR((VLOOKUP(SUMPRODUCT($F$36:$H$36,Настройки!$C$18:$E$18),Настройки!$AR:$AS,2,0))*Y36,0)</s:f>
        <s:v>0.25</s:v>
      </s:c>
      <s:c r="P36" s="20">
        <s:f>IFERROR((VLOOKUP(SUMPRODUCT($F$36:$H$36,Настройки!$C$18:$E$18),Настройки!$AR:$AS,2,0))*Z36,0)</s:f>
        <s:v>0.25</s:v>
      </s:c>
      <s:c r="Q36" s="5"/>
      <s:c r="R36" s="5"/>
      <s:c r="S36" s="19"/>
      <s:c r="T36" s="19">
        <s:v>0.25</s:v>
      </s:c>
      <s:c r="U36" s="19">
        <s:v>1</s:v>
      </s:c>
      <s:c r="V36" s="19"/>
      <s:c r="W36" s="19"/>
      <s:c r="X36" s="19"/>
      <s:c r="Y36" s="19">
        <s:v>0.25</s:v>
      </s:c>
      <s:c r="Z36" s="19">
        <s:v>0.25</s:v>
      </s:c>
      <s:c r="AA36" s="12"/>
    </s:row>
    <s:row r="37" ht="15.75">
      <s:c r="B37" s="74"/>
      <s:c r="C37" s="103" t="s">
        <s:v>60</s:v>
      </s:c>
      <s:c r="D37" s="103"/>
      <s:c r="E37" s="75" t="s">
        <s:v>122</s:v>
      </s:c>
      <s:c r="F37" s="36">
        <s:f>F10</s:f>
        <s:v>1</s:v>
      </s:c>
      <s:c r="G37" s="36">
        <s:f>G10</s:f>
        <s:v>0</s:v>
      </s:c>
      <s:c r="H37" s="36">
        <s:f>H10</s:f>
        <s:v>0</s:v>
      </s:c>
      <s:c r="I37" s="20">
        <s:f>IFERROR((VLOOKUP(SUMPRODUCT($F$37:$H$37,Настройки!$C$19:$E$19),Настройки!$AX:$AY,2,0))*S37,0)</s:f>
        <s:v>1</s:v>
      </s:c>
      <s:c r="J37" s="20">
        <s:f>IFERROR((VLOOKUP(SUMPRODUCT($F$37:$H$37,Настройки!$C$19:$E$19),Настройки!$AX:$AY,2,0))*T37,0)</s:f>
        <s:v>0</s:v>
      </s:c>
      <s:c r="K37" s="20">
        <s:f>IFERROR((VLOOKUP(SUMPRODUCT($F$37:$H$37,Настройки!$C$19:$E$19),Настройки!$AX:$AY,2,0))*U37,0)</s:f>
        <s:v>1</s:v>
      </s:c>
      <s:c r="L37" s="20">
        <s:f>IFERROR((VLOOKUP(SUMPRODUCT($F$37:$H$37,Настройки!$C$19:$E$19),Настройки!$AX:$AY,2,0))*V37,0)</s:f>
        <s:v>0</s:v>
      </s:c>
      <s:c r="M37" s="20">
        <s:f>IFERROR((VLOOKUP(SUMPRODUCT($F$37:$H$37,Настройки!$C$19:$E$19),Настройки!$AX:$AY,2,0))*W37,0)</s:f>
        <s:v>0</s:v>
      </s:c>
      <s:c r="N37" s="20">
        <s:f>IFERROR((VLOOKUP(SUMPRODUCT($F$37:$H$37,Настройки!$C$19:$E$19),Настройки!$AX:$AY,2,0))*X37,0)</s:f>
        <s:v>0</s:v>
      </s:c>
      <s:c r="O37" s="20">
        <s:f>IFERROR((VLOOKUP(SUMPRODUCT($F$37:$H$37,Настройки!$C$19:$E$19),Настройки!$AX:$AY,2,0))*Y37,0)</s:f>
        <s:v>1</s:v>
      </s:c>
      <s:c r="P37" s="20">
        <s:f>IFERROR((VLOOKUP(SUMPRODUCT($F$37:$H$37,Настройки!$C$19:$E$19),Настройки!$AX:$AY,2,0))*Z37,0)</s:f>
        <s:v>1</s:v>
      </s:c>
      <s:c r="Q37" s="5"/>
      <s:c r="R37" s="5"/>
      <s:c r="S37" s="19">
        <s:v>1</s:v>
      </s:c>
      <s:c r="T37" s="19"/>
      <s:c r="U37" s="19">
        <s:v>1</s:v>
      </s:c>
      <s:c r="V37" s="19"/>
      <s:c r="W37" s="19"/>
      <s:c r="X37" s="19"/>
      <s:c r="Y37" s="19">
        <s:v>1</s:v>
      </s:c>
      <s:c r="Z37" s="19">
        <s:v>1</s:v>
      </s:c>
      <s:c r="AA37" s="12"/>
    </s:row>
    <s:row r="38" ht="15.75">
      <s:c r="B38" s="74"/>
      <s:c r="C38" s="103" t="s">
        <s:v>46</s:v>
      </s:c>
      <s:c r="D38" s="103"/>
      <s:c r="E38" s="75" t="s">
        <s:v>41</s:v>
      </s:c>
      <s:c r="F38" s="35" t="str">
        <s:f>IF(F8="","",F8)</s:f>
        <s:v>х</s:v>
      </s:c>
      <s:c r="G38" s="35" t="str">
        <s:f>IF(G8="","",G8)</s:f>
        <s:v/>
      </s:c>
      <s:c r="H38" s="35" t="str">
        <s:f>IF(H8="","",H8)</s:f>
        <s:v/>
      </s:c>
      <s:c r="I38" s="20">
        <s:f>IFERROR(_xlfn.IFS($F38&lt;&gt;"",Настройки!$C$9,$G38&lt;&gt;"",Настройки!$D$9,$H38&lt;&gt;"",Настройки!$E$9)*S38,0)</s:f>
        <s:v>1</s:v>
      </s:c>
      <s:c r="J38" s="20">
        <s:f>IFERROR(_xlfn.IFS($F38&lt;&gt;"",Настройки!$C$9,$G38&lt;&gt;"",Настройки!$D$9,$H38&lt;&gt;"",Настройки!$E$9)*T38,0)</s:f>
        <s:v>1</s:v>
      </s:c>
      <s:c r="K38" s="20">
        <s:f>IFERROR(_xlfn.IFS($F38&lt;&gt;"",Настройки!$C$9,$G38&lt;&gt;"",Настройки!$D$9,$H38&lt;&gt;"",Настройки!$E$9)*U38,0)</s:f>
        <s:v>1</s:v>
      </s:c>
      <s:c r="L38" s="20">
        <s:f>IFERROR(_xlfn.IFS($F38&lt;&gt;"",Настройки!$C$9,$G38&lt;&gt;"",Настройки!$D$9,$H38&lt;&gt;"",Настройки!$E$9)*V38,0)</s:f>
        <s:v>0.25</s:v>
      </s:c>
      <s:c r="M38" s="20">
        <s:f>IFERROR(_xlfn.IFS($F38&lt;&gt;"",Настройки!$C$9,$G38&lt;&gt;"",Настройки!$D$9,$H38&lt;&gt;"",Настройки!$E$9)*W38,0)</s:f>
        <s:v>0.25</s:v>
      </s:c>
      <s:c r="N38" s="20">
        <s:f>IFERROR(_xlfn.IFS($F38&lt;&gt;"",Настройки!$C$9,$G38&lt;&gt;"",Настройки!$D$9,$H38&lt;&gt;"",Настройки!$E$9)*X38,0)</s:f>
        <s:v>0.25</s:v>
      </s:c>
      <s:c r="O38" s="20">
        <s:f>IFERROR(_xlfn.IFS($F38&lt;&gt;"",Настройки!$C$9,$G38&lt;&gt;"",Настройки!$D$9,$H38&lt;&gt;"",Настройки!$E$9)*Y38,0)</s:f>
        <s:v>0.5</s:v>
      </s:c>
      <s:c r="P38" s="20">
        <s:f>IFERROR(_xlfn.IFS($F38&lt;&gt;"",Настройки!$C$9,$G38&lt;&gt;"",Настройки!$D$9,$H38&lt;&gt;"",Настройки!$E$9)*Z38,0)</s:f>
        <s:v>0.25</s:v>
      </s:c>
      <s:c r="Q38" s="5"/>
      <s:c r="R38" s="5" t="s">
        <s:v>113</s:v>
      </s:c>
      <s:c r="S38" s="19">
        <s:v>1</s:v>
      </s:c>
      <s:c r="T38" s="19">
        <s:v>1</s:v>
      </s:c>
      <s:c r="U38" s="19">
        <s:v>1</s:v>
      </s:c>
      <s:c r="V38" s="19">
        <s:v>0.25</s:v>
      </s:c>
      <s:c r="W38" s="19">
        <s:v>0.25</s:v>
      </s:c>
      <s:c r="X38" s="19">
        <s:v>0.25</s:v>
      </s:c>
      <s:c r="Y38" s="19">
        <s:v>0.5</s:v>
      </s:c>
      <s:c r="Z38" s="19">
        <s:v>0.25</s:v>
      </s:c>
      <s:c r="AA38" s="12"/>
    </s:row>
    <s:row x14ac:dyDescent="0.3" r="39" spans="2:27" ht="39" customHeight="1">
      <s:c r="B39" s="100" t="s">
        <s:v>20</s:v>
      </s:c>
      <s:c r="C39" s="100"/>
      <s:c r="D39" s="100"/>
      <s:c r="E39" s="77"/>
      <s:c r="F39" s="60"/>
      <s:c r="G39" s="60"/>
      <s:c r="H39" s="60"/>
      <s:c r="I39" s="69">
        <s:f>SUM(I40:I42)</s:f>
        <s:v>2.63</s:v>
      </s:c>
      <s:c r="J39" s="69">
        <s:f>SUM(J40:J42)</s:f>
        <s:v>2.7250000000000001</s:v>
      </s:c>
      <s:c r="K39" s="69">
        <s:f>SUM(K40:K42)</s:f>
        <s:v>1.5750000000000002</s:v>
      </s:c>
      <s:c r="L39" s="69">
        <s:f>SUM(L40:L42)</s:f>
        <s:v>0.63</s:v>
      </s:c>
      <s:c r="M39" s="69">
        <s:f>SUM(M40:M42)</s:f>
        <s:v>0.67999999999999994</s:v>
      </s:c>
      <s:c r="N39" s="69">
        <s:f>SUM(N40:N42)</s:f>
        <s:v>0.86250000000000004</s:v>
      </s:c>
      <s:c r="O39" s="69">
        <s:f>SUM(O40:O42)</s:f>
        <s:v>0.59250000000000003</s:v>
      </s:c>
      <s:c r="P39" s="69">
        <s:f>SUM(P40:P42)</s:f>
        <s:v>1.4</s:v>
      </s:c>
      <s:c r="Q39" s="61" t="s">
        <s:v>75</s:v>
      </s:c>
      <s:c r="R39" s="61" t="s">
        <s:v>69</s:v>
      </s:c>
      <s:c r="S39" s="62"/>
      <s:c r="T39" s="62"/>
      <s:c r="U39" s="62"/>
      <s:c r="V39" s="62"/>
      <s:c r="W39" s="62"/>
      <s:c r="X39" s="62"/>
      <s:c r="Y39" s="62"/>
      <s:c r="Z39" s="62"/>
      <s:c r="AA39" s="12"/>
    </s:row>
    <s:row r="40" ht="26.25">
      <s:c r="B40" s="74"/>
      <s:c r="C40" s="103" t="s">
        <s:v>47</s:v>
      </s:c>
      <s:c r="D40" s="103"/>
      <s:c r="E40" s="75" t="s">
        <s:v>97</s:v>
      </s:c>
      <s:c r="F40" s="38" t="s">
        <s:v>50</s:v>
      </s:c>
      <s:c r="G40" s="38"/>
      <s:c r="H40" s="38"/>
      <s:c r="I40" s="20">
        <s:f>IFERROR(_xlfn.IFS($F40&lt;&gt;"",Настройки!$C$10,$G40&lt;&gt;"",Настройки!$D$10,$H40&lt;&gt;"",Настройки!$E$10)*S40,0)</s:f>
        <s:v>1</s:v>
      </s:c>
      <s:c r="J40" s="20">
        <s:f>IFERROR(_xlfn.IFS($F40&lt;&gt;"",Настройки!$C$10,$G40&lt;&gt;"",Настройки!$D$10,$H40&lt;&gt;"",Настройки!$E$10)*T40,0)</s:f>
        <s:v>1</s:v>
      </s:c>
      <s:c r="K40" s="20">
        <s:f>IFERROR(_xlfn.IFS($F40&lt;&gt;"",Настройки!$C$10,$G40&lt;&gt;"",Настройки!$D$10,$H40&lt;&gt;"",Настройки!$E$10)*U40,0)</s:f>
        <s:v>0</s:v>
      </s:c>
      <s:c r="L40" s="20">
        <s:f>IFERROR(_xlfn.IFS($F40&lt;&gt;"",Настройки!$C$10,$G40&lt;&gt;"",Настройки!$D$10,$H40&lt;&gt;"",Настройки!$E$10)*V40,0)</s:f>
        <s:v>0</s:v>
      </s:c>
      <s:c r="M40" s="20">
        <s:f>IFERROR(_xlfn.IFS($F40&lt;&gt;"",Настройки!$C$10,$G40&lt;&gt;"",Настройки!$D$10,$H40&lt;&gt;"",Настройки!$E$10)*W40,0)</s:f>
        <s:v>0.25</s:v>
      </s:c>
      <s:c r="N40" s="20">
        <s:f>IFERROR(_xlfn.IFS($F40&lt;&gt;"",Настройки!$C$10,$G40&lt;&gt;"",Настройки!$D$10,$H40&lt;&gt;"",Настройки!$E$10)*X40,0)</s:f>
        <s:v>0</s:v>
      </s:c>
      <s:c r="O40" s="20">
        <s:f>IFERROR(_xlfn.IFS($F40&lt;&gt;"",Настройки!$C$10,$G40&lt;&gt;"",Настройки!$D$10,$H40&lt;&gt;"",Настройки!$E$10)*Y40,0)</s:f>
        <s:v>0</s:v>
      </s:c>
      <s:c r="P40" s="20">
        <s:f>IFERROR(_xlfn.IFS($F40&lt;&gt;"",Настройки!$C$10,$G40&lt;&gt;"",Настройки!$D$10,$H40&lt;&gt;"",Настройки!$E$10)*Z40,0)</s:f>
        <s:v>1</s:v>
      </s:c>
      <s:c r="Q40" s="5"/>
      <s:c r="R40" s="5"/>
      <s:c r="S40" s="19">
        <s:v>1</s:v>
      </s:c>
      <s:c r="T40" s="19">
        <s:v>1</s:v>
      </s:c>
      <s:c r="U40" s="19"/>
      <s:c r="V40" s="19"/>
      <s:c r="W40" s="19">
        <s:v>0.25</s:v>
      </s:c>
      <s:c r="X40" s="19"/>
      <s:c r="Y40" s="19"/>
      <s:c r="Z40" s="19">
        <s:v>1</s:v>
      </s:c>
      <s:c r="AA40" s="12"/>
    </s:row>
    <s:row r="41" ht="26.25">
      <s:c r="B41" s="74"/>
      <s:c r="C41" s="103" t="s">
        <s:v>48</s:v>
      </s:c>
      <s:c r="D41" s="103"/>
      <s:c r="E41" s="75" t="s">
        <s:v>98</s:v>
      </s:c>
      <s:c r="F41" s="38" t="s">
        <s:v>50</s:v>
      </s:c>
      <s:c r="G41" s="38"/>
      <s:c r="H41" s="38"/>
      <s:c r="I41" s="20">
        <s:f>IFERROR(_xlfn.IFS($F41&lt;&gt;"",Настройки!$C$11,$G41&lt;&gt;"",Настройки!$D$11,$H41&lt;&gt;"",Настройки!$E$11)*S41,0)</s:f>
        <s:v>1</s:v>
      </s:c>
      <s:c r="J41" s="20">
        <s:f>IFERROR(_xlfn.IFS($F41&lt;&gt;"",Настройки!$C$11,$G41&lt;&gt;"",Настройки!$D$11,$H41&lt;&gt;"",Настройки!$E$11)*T41,0)</s:f>
        <s:v>0</s:v>
      </s:c>
      <s:c r="K41" s="20">
        <s:f>IFERROR(_xlfn.IFS($F41&lt;&gt;"",Настройки!$C$11,$G41&lt;&gt;"",Настройки!$D$11,$H41&lt;&gt;"",Настройки!$E$11)*U41,0)</s:f>
        <s:v>0</s:v>
      </s:c>
      <s:c r="L41" s="20">
        <s:f>IFERROR(_xlfn.IFS($F41&lt;&gt;"",Настройки!$C$11,$G41&lt;&gt;"",Настройки!$D$11,$H41&lt;&gt;"",Настройки!$E$11)*V41,0)</s:f>
        <s:v>0</s:v>
      </s:c>
      <s:c r="M41" s="20">
        <s:f>IFERROR(_xlfn.IFS($F41&lt;&gt;"",Настройки!$C$11,$G41&lt;&gt;"",Настройки!$D$11,$H41&lt;&gt;"",Настройки!$E$11)*W41,0)</s:f>
        <s:v>0</s:v>
      </s:c>
      <s:c r="N41" s="20">
        <s:f>IFERROR(_xlfn.IFS($F41&lt;&gt;"",Настройки!$C$11,$G41&lt;&gt;"",Настройки!$D$11,$H41&lt;&gt;"",Настройки!$E$11)*X41,0)</s:f>
        <s:v>0</s:v>
      </s:c>
      <s:c r="O41" s="20">
        <s:f>IFERROR(_xlfn.IFS($F41&lt;&gt;"",Настройки!$C$11,$G41&lt;&gt;"",Настройки!$D$11,$H41&lt;&gt;"",Настройки!$E$11)*Y41,0)</s:f>
        <s:v>0</s:v>
      </s:c>
      <s:c r="P41" s="20">
        <s:f>IFERROR(_xlfn.IFS($F41&lt;&gt;"",Настройки!$C$11,$G41&lt;&gt;"",Настройки!$D$11,$H41&lt;&gt;"",Настройки!$E$11)*Z41,0)</s:f>
        <s:v>0</s:v>
      </s:c>
      <s:c r="Q41" s="5"/>
      <s:c r="R41" s="5"/>
      <s:c r="S41" s="19">
        <s:v>1</s:v>
      </s:c>
      <s:c r="T41" s="19"/>
      <s:c r="U41" s="19"/>
      <s:c r="V41" s="19"/>
      <s:c r="W41" s="19"/>
      <s:c r="X41" s="19"/>
      <s:c r="Y41" s="19"/>
      <s:c r="Z41" s="19"/>
      <s:c r="AA41" s="12"/>
    </s:row>
    <s:row r="42" ht="38.25">
      <s:c r="B42" s="74"/>
      <s:c r="C42" s="71" t="s">
        <s:v>91</s:v>
      </s:c>
      <s:c r="D42" s="71"/>
      <s:c r="E42" s="75" t="s">
        <s:v>99</s:v>
      </s:c>
      <s:c r="F42" s="104">
        <s:v>1</s:v>
      </s:c>
      <s:c r="G42" s="104"/>
      <s:c r="H42" s="104"/>
      <s:c r="I42" s="20">
        <s:f>IFERROR($F$42*S42,0)</s:f>
        <s:v>0.63</s:v>
      </s:c>
      <s:c r="J42" s="20">
        <s:f>IFERROR($F$42*T42,0)</s:f>
        <s:v>1.7250000000000001</s:v>
      </s:c>
      <s:c r="K42" s="20">
        <s:f>IFERROR($F$42*U42,0)</s:f>
        <s:v>1.5750000000000002</s:v>
      </s:c>
      <s:c r="L42" s="20">
        <s:f>IFERROR($F$42*V42,0)</s:f>
        <s:v>0.63</s:v>
      </s:c>
      <s:c r="M42" s="20">
        <s:f>IFERROR($F$42*W42,0)</s:f>
        <s:v>0.43</s:v>
      </s:c>
      <s:c r="N42" s="20">
        <s:f>IFERROR($F$42*X42,0)</s:f>
        <s:v>0.86250000000000004</s:v>
      </s:c>
      <s:c r="O42" s="20">
        <s:f>IFERROR($F$42*Y42,0)</s:f>
        <s:v>0.59250000000000003</s:v>
      </s:c>
      <s:c r="P42" s="20">
        <s:f>IFERROR($F$42*Z42,0)</s:f>
        <s:v>0.4</s:v>
      </s:c>
      <s:c r="Q42" s="5"/>
      <s:c r="R42" s="5"/>
      <s:c r="S42" s="19">
        <s:f>SUM(S17:S41)*0.05</s:f>
        <s:v>0.63</s:v>
      </s:c>
      <s:c r="T42" s="19">
        <s:f>SUM(T17:T41)*0.05</s:f>
        <s:v>1.7250000000000001</s:v>
      </s:c>
      <s:c r="U42" s="19">
        <s:f>SUM(U17:U41)*0.05</s:f>
        <s:v>1.5750000000000002</s:v>
      </s:c>
      <s:c r="V42" s="19">
        <s:f>SUM(V17:V41)*0.05</s:f>
        <s:v>0.63</s:v>
      </s:c>
      <s:c r="W42" s="19">
        <s:f>SUM(W17:W41)*0.05</s:f>
        <s:v>0.43</s:v>
      </s:c>
      <s:c r="X42" s="19">
        <s:f>SUM(X17:X41)*0.05</s:f>
        <s:v>0.86250000000000004</s:v>
      </s:c>
      <s:c r="Y42" s="19">
        <s:f>SUM(Y17:Y41)*0.05</s:f>
        <s:v>0.59250000000000003</s:v>
      </s:c>
      <s:c r="Z42" s="19">
        <s:f>SUM(Z17:Z41)*0.05</s:f>
        <s:v>0.4</s:v>
      </s:c>
      <s:c r="AA42" s="12"/>
    </s:row>
    <s:row r="43" ht="19.5">
      <s:c r="B43" s="106" t="s">
        <s:v>21</s:v>
      </s:c>
      <s:c r="C43" s="107"/>
      <s:c r="D43" s="108"/>
      <s:c r="E43" s="83">
        <s:f>SUM(I43:P43)</s:f>
        <s:v>205.99499999999998</s:v>
      </s:c>
      <s:c r="F43" s="84" t="s">
        <s:v>89</s:v>
      </s:c>
      <s:c r="G43" s="84"/>
      <s:c r="H43" s="84"/>
      <s:c r="I43" s="63">
        <s:f>SUM(I11:I42)/2</s:f>
        <s:v>16.98</s:v>
      </s:c>
      <s:c r="J43" s="63">
        <s:f>SUM(J11:J42)/2</s:f>
        <s:v>48.974999999999994</s:v>
      </s:c>
      <s:c r="K43" s="63">
        <s:f>SUM(K11:K42)/2</s:f>
        <s:v>43.575000000000003</s:v>
      </s:c>
      <s:c r="L43" s="63">
        <s:f>SUM(L11:L42)/2</s:f>
        <s:v>20.730000000000004</s:v>
      </s:c>
      <s:c r="M43" s="63">
        <s:f>SUM(M11:M42)/2</s:f>
        <s:v>14.530000000000001</s:v>
      </s:c>
      <s:c r="N43" s="63">
        <s:f>SUM(N11:N42)/2</s:f>
        <s:v>25.612499999999997</s:v>
      </s:c>
      <s:c r="O43" s="63">
        <s:f>SUM(O11:O42)/2</s:f>
        <s:v>25.692500000000003</s:v>
      </s:c>
      <s:c r="P43" s="63">
        <s:f>SUM(P11:P42)/2</s:f>
        <s:v>9.8999999999999986</s:v>
      </s:c>
      <s:c r="Q43" s="5"/>
      <s:c r="R43" s="5"/>
      <s:c r="S43" s="78">
        <s:f>SUM(S18:S42)</s:f>
        <s:v>13.23</s:v>
      </s:c>
      <s:c r="T43" s="78">
        <s:f>SUM(T18:T41)</s:f>
        <s:v>34.5</s:v>
      </s:c>
      <s:c r="U43" s="78">
        <s:f>SUM(U18:U41)</s:f>
        <s:v>31.5</s:v>
      </s:c>
      <s:c r="V43" s="78">
        <s:f>SUM(V18:V41)</s:f>
        <s:v>12.6</s:v>
      </s:c>
      <s:c r="W43" s="78">
        <s:f>SUM(W18:W41)</s:f>
        <s:v>8.6</s:v>
      </s:c>
      <s:c r="X43" s="78">
        <s:f>SUM(X18:X41)</s:f>
        <s:v>17.25</s:v>
      </s:c>
      <s:c r="Y43" s="78">
        <s:f>SUM(Y18:Y41)</s:f>
        <s:v>11.85</s:v>
      </s:c>
      <s:c r="Z43" s="78">
        <s:f>SUM(Z18:Z41)</s:f>
        <s:v>8</s:v>
      </s:c>
    </s:row>
    <s:row r="44" ht="19.5">
      <s:c r="B44" s="109" t="s">
        <s:v>22</s:v>
      </s:c>
      <s:c r="C44" s="109"/>
      <s:c r="D44" s="110"/>
      <s:c r="E44" s="80">
        <s:f>SUM(I44:P44)</s:f>
        <s:v>6355118.6000000006</s:v>
      </s:c>
      <s:c r="F44" s="81" t="s">
        <s:v>23</s:v>
      </s:c>
      <s:c r="G44" s="79"/>
      <s:c r="H44" s="79"/>
      <s:c r="I44" s="31">
        <s:f>I43*I5</s:f>
        <s:v>392577.60000000003</s:v>
      </s:c>
      <s:c r="J44" s="31">
        <s:f>J43*J5</s:f>
        <s:v>1531937.9999999998</s:v>
      </s:c>
      <s:c r="K44" s="31">
        <s:f>K43*K5</s:f>
        <s:v>1007454.0000000001</s:v>
      </s:c>
      <s:c r="L44" s="31">
        <s:f>L43*L5</s:f>
        <s:v>865684.80000000016</s:v>
      </s:c>
      <s:c r="M44" s="31">
        <s:f>M43*M5</s:f>
        <s:v>454498.4</s:v>
      </s:c>
      <s:c r="N44" s="31">
        <s:f>N43*N5</s:f>
        <s:v>801158.99999999988</s:v>
      </s:c>
      <s:c r="O44" s="31">
        <s:f>O43*O5</s:f>
        <s:v>1072918.8</s:v>
      </s:c>
      <s:c r="P44" s="31">
        <s:f>P43*P5</s:f>
        <s:v>228887.99999999997</s:v>
      </s:c>
    </s:row>
  </s:sheetData>
  <s:mergeCells count="43">
    <s:mergeCell ref="B43:D43"/>
    <s:mergeCell ref="B44:D44"/>
    <s:mergeCell ref="S2:Z2"/>
    <s:mergeCell ref="F12:F16"/>
    <s:mergeCell ref="G12:G16"/>
    <s:mergeCell ref="H12:H16"/>
    <s:mergeCell ref="E12:E16"/>
    <s:mergeCell ref="F1:H2"/>
    <s:mergeCell ref="E1:E5"/>
    <s:mergeCell ref="I1:P1"/>
    <s:mergeCell ref="S1:Z1"/>
    <s:mergeCell ref="F3:F5"/>
    <s:mergeCell ref="G3:G5"/>
    <s:mergeCell ref="H3:H5"/>
    <s:mergeCell ref="I2:P2"/>
    <s:mergeCell ref="C30:D30"/>
    <s:mergeCell ref="B31:D31"/>
    <s:mergeCell ref="F42:H42"/>
    <s:mergeCell ref="F33:H33"/>
    <s:mergeCell ref="C40:D40"/>
    <s:mergeCell ref="C41:D41"/>
    <s:mergeCell ref="C33:D33"/>
    <s:mergeCell ref="C34:D34"/>
    <s:mergeCell ref="B35:D35"/>
    <s:mergeCell ref="C36:D36"/>
    <s:mergeCell ref="C37:D37"/>
    <s:mergeCell ref="C38:D38"/>
    <s:mergeCell ref="B11:D11"/>
    <s:mergeCell ref="C12:D12"/>
    <s:mergeCell ref="B39:D39"/>
    <s:mergeCell ref="C1:D5"/>
    <s:mergeCell ref="B1:B5"/>
    <s:mergeCell ref="C32:D32"/>
    <s:mergeCell ref="B17:D17"/>
    <s:mergeCell ref="C18:D18"/>
    <s:mergeCell ref="B19:D19"/>
    <s:mergeCell ref="C20:D20"/>
    <s:mergeCell ref="C21:D21"/>
    <s:mergeCell ref="C22:D22"/>
    <s:mergeCell ref="C23:D23"/>
    <s:mergeCell ref="B27:D27"/>
    <s:mergeCell ref="C28:D28"/>
    <s:mergeCell ref="C29:D29"/>
  </s:mergeCells>
  <s:pageMargins left="0.7" right="0.7" top="0.75" bottom="0.75" header="0.3" footer="0.3"/>
  <s:pageSetup paperSize="9" orientation="portrait" r:id="rId1"/>
  <s:ignoredErrors>
    <s:ignoredError sqref="I29" formula="1"/>
  </s:ignoredErrors>
</s:worksheet>
</file>

<file path=xl/worksheets/sheet2.xml><?xml version="1.0" encoding="utf-8"?>
<s:worksheet xmlns:xr="http://schemas.microsoft.com/office/spreadsheetml/2014/revision"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mc:Ignorable="x14ac xr xr2 xr3" xr:uid="{26D9BF91-F9DC-410F-A0CC-C2442DCD84B1}">
  <s:dimension ref="A1:AY245"/>
  <s:sheetViews>
    <s:sheetView tabSelected="0" topLeftCell="A28" workbookViewId="0">
      <s:selection activeCell="J44" sqref="J44"/>
    </s:sheetView>
  </s:sheetViews>
  <s:sheetFormatPr x14ac:dyDescent="0.3" defaultColWidth="10" defaultRowHeight="14.4"/>
  <s:cols>
    <s:col min="1" max="1" width="14.332" style="2" customWidth="1"/>
    <s:col min="2" max="2" width="19.219" style="1" customWidth="1"/>
    <s:col min="3" max="5" width="11.664" bestFit="1" customWidth="1"/>
    <s:col min="6" max="6" width="8.109" customWidth="1"/>
    <s:col min="8" max="8" width="10.664" bestFit="1" customWidth="1"/>
    <s:col min="9" max="9" width="11.664" bestFit="1" customWidth="1"/>
    <s:col min="10" max="10" width="12.109" customWidth="1"/>
    <s:col min="11" max="11" width="11.664" bestFit="1" customWidth="1"/>
    <s:col min="16" max="16" width="11.109" customWidth="1"/>
    <s:col min="25" max="25" width="9.441" bestFit="1" customWidth="1"/>
  </s:cols>
  <s:sheetData>
    <s:row r="1">
      <s:c r="A1" s="5"/>
      <s:c r="B1" s="70"/>
      <s:c r="C1" s="120" t="s">
        <s:v>1</s:v>
      </s:c>
      <s:c r="D1" s="120"/>
      <s:c r="E1" s="120"/>
      <s:c r="H1" s="121" t="s">
        <s:v>12</s:v>
      </s:c>
      <s:c r="I1" s="121"/>
      <s:c r="J1" s="121"/>
      <s:c r="K1" s="121"/>
      <s:c r="M1" s="121" t="s">
        <s:v>29</s:v>
      </s:c>
      <s:c r="N1" s="121"/>
      <s:c r="O1" s="121"/>
      <s:c r="P1" s="121"/>
      <s:c r="R1" s="4" t="s">
        <s:v>32</s:v>
      </s:c>
      <s:c r="S1" s="4"/>
      <s:c r="T1" s="4"/>
      <s:c r="W1" s="4" t="s">
        <s:v>33</s:v>
      </s:c>
      <s:c r="X1" s="4"/>
      <s:c r="Y1" s="4"/>
      <s:c r="AB1" s="4" t="s">
        <s:v>34</s:v>
      </s:c>
      <s:c r="AC1" s="4"/>
      <s:c r="AD1" s="4"/>
      <s:c r="AG1" s="4" t="s">
        <s:v>35</s:v>
      </s:c>
      <s:c r="AH1" s="4"/>
      <s:c r="AI1" s="4"/>
      <s:c r="AL1" t="s">
        <s:v>43</s:v>
      </s:c>
      <s:c r="AQ1" s="1" t="s">
        <s:v>44</s:v>
      </s:c>
      <s:c r="AW1" s="1" t="s">
        <s:v>45</s:v>
      </s:c>
    </s:row>
    <s:row r="2">
      <s:c r="A2" s="5"/>
      <s:c r="B2" s="70"/>
      <s:c r="C2" s="4" t="s">
        <s:v>24</s:v>
      </s:c>
      <s:c r="D2" s="4" t="s">
        <s:v>25</s:v>
      </s:c>
      <s:c r="E2" s="4" t="s">
        <s:v>26</s:v>
      </s:c>
      <s:c r="H2" s="4"/>
      <s:c r="I2" s="4" t="s">
        <s:v>27</s:v>
      </s:c>
      <s:c r="J2" s="4" t="s">
        <s:v>28</s:v>
      </s:c>
      <s:c r="K2" s="1" t="s">
        <s:v>51</s:v>
      </s:c>
      <s:c r="M2" s="4"/>
      <s:c r="N2" s="4" t="s">
        <s:v>27</s:v>
      </s:c>
      <s:c r="O2" s="4" t="s">
        <s:v>28</s:v>
      </s:c>
      <s:c r="P2" t="s">
        <s:v>51</s:v>
      </s:c>
      <s:c r="R2" s="4"/>
      <s:c r="S2" s="4" t="s">
        <s:v>27</s:v>
      </s:c>
      <s:c r="T2" s="4" t="s">
        <s:v>28</s:v>
      </s:c>
      <s:c r="U2" t="s">
        <s:v>36</s:v>
      </s:c>
      <s:c r="W2" s="4"/>
      <s:c r="X2" s="4" t="s">
        <s:v>27</s:v>
      </s:c>
      <s:c r="Y2" s="4" t="s">
        <s:v>28</s:v>
      </s:c>
      <s:c r="Z2" t="s">
        <s:v>52</s:v>
      </s:c>
      <s:c r="AB2" s="4"/>
      <s:c r="AC2" s="4" t="s">
        <s:v>27</s:v>
      </s:c>
      <s:c r="AD2" s="4" t="s">
        <s:v>28</s:v>
      </s:c>
      <s:c r="AE2" t="s">
        <s:v>52</s:v>
      </s:c>
      <s:c r="AG2" s="4"/>
      <s:c r="AH2" s="4" t="s">
        <s:v>27</s:v>
      </s:c>
      <s:c r="AI2" s="4" t="s">
        <s:v>28</s:v>
      </s:c>
      <s:c r="AL2" s="4"/>
      <s:c r="AM2" s="4" t="s">
        <s:v>27</s:v>
      </s:c>
      <s:c r="AN2" s="4" t="s">
        <s:v>28</s:v>
      </s:c>
      <s:c r="AQ2" s="4"/>
      <s:c r="AR2" s="4" t="s">
        <s:v>27</s:v>
      </s:c>
      <s:c r="AS2" s="4" t="s">
        <s:v>28</s:v>
      </s:c>
      <s:c r="AT2" t="s">
        <s:v>53</s:v>
      </s:c>
      <s:c r="AX2" s="4" t="s">
        <s:v>27</s:v>
      </s:c>
      <s:c r="AY2" s="4" t="s">
        <s:v>28</s:v>
      </s:c>
    </s:row>
    <s:row r="3">
      <s:c r="A3" s="5"/>
      <s:c r="B3" s="70" t="s">
        <s:v>126</s:v>
      </s:c>
      <s:c r="C3" s="4">
        <s:v>1</s:v>
      </s:c>
      <s:c r="D3" s="4">
        <s:v>3</s:v>
      </s:c>
      <s:c r="E3" s="4">
        <s:v>7</s:v>
      </s:c>
      <s:c r="H3" s="4" t="s">
        <s:v>24</s:v>
      </s:c>
      <s:c r="I3" s="4">
        <s:v>1</s:v>
      </s:c>
      <s:c r="J3" s="4">
        <s:v>1</s:v>
      </s:c>
      <s:c r="K3" t="s">
        <s:v>26</s:v>
      </s:c>
      <s:c r="M3" s="4" t="s">
        <s:v>24</s:v>
      </s:c>
      <s:c r="N3" s="4">
        <s:v>1</s:v>
      </s:c>
      <s:c r="O3" s="4">
        <s:v>1</s:v>
      </s:c>
      <s:c r="P3" t="s">
        <s:v>26</s:v>
      </s:c>
      <s:c r="R3" s="4" t="s">
        <s:v>24</s:v>
      </s:c>
      <s:c r="S3" s="4">
        <s:v>1</s:v>
      </s:c>
      <s:c r="T3" s="4">
        <s:v>1</s:v>
      </s:c>
      <s:c r="U3" t="s">
        <s:v>30</s:v>
      </s:c>
      <s:c r="W3" s="4" t="s">
        <s:v>24</s:v>
      </s:c>
      <s:c r="X3" s="4">
        <s:v>1</s:v>
      </s:c>
      <s:c r="Y3" s="8">
        <s:v>1</s:v>
      </s:c>
      <s:c r="Z3" t="s">
        <s:v>38</s:v>
      </s:c>
      <s:c r="AB3" s="4" t="s">
        <s:v>24</s:v>
      </s:c>
      <s:c r="AC3" s="4">
        <s:v>1</s:v>
      </s:c>
      <s:c r="AD3" s="8">
        <s:v>1</s:v>
      </s:c>
      <s:c r="AE3" t="s">
        <s:v>38</s:v>
      </s:c>
      <s:c r="AG3" s="4" t="s">
        <s:v>24</s:v>
      </s:c>
      <s:c r="AH3" s="4">
        <s:v>1</s:v>
      </s:c>
      <s:c r="AI3" s="8">
        <s:v>1</s:v>
      </s:c>
      <s:c r="AL3" s="4" t="s">
        <s:v>24</s:v>
      </s:c>
      <s:c r="AM3" s="4">
        <s:v>1</s:v>
      </s:c>
      <s:c r="AN3" s="8">
        <s:v>1</s:v>
      </s:c>
      <s:c r="AQ3" s="4" t="s">
        <s:v>24</s:v>
      </s:c>
      <s:c r="AR3" s="4">
        <s:v>1</s:v>
      </s:c>
      <s:c r="AS3" s="8">
        <s:v>1</s:v>
      </s:c>
      <s:c r="AT3" t="s">
        <s:v>38</s:v>
      </s:c>
      <s:c r="AW3" s="4" t="s">
        <s:v>24</s:v>
      </s:c>
      <s:c r="AX3" s="4">
        <s:v>1</s:v>
      </s:c>
      <s:c r="AY3" s="8">
        <s:v>1</s:v>
      </s:c>
    </s:row>
    <s:row r="4">
      <s:c r="A4" s="70" t="s">
        <s:v>31</s:v>
      </s:c>
      <s:c r="B4" s="70" t="s">
        <s:v>13</s:v>
      </s:c>
      <s:c r="C4" s="4">
        <s:v>1</s:v>
      </s:c>
      <s:c r="D4" s="4">
        <s:v>2.5</s:v>
      </s:c>
      <s:c r="E4" s="4">
        <s:v>3.3</s:v>
      </s:c>
      <s:c r="H4" s="4" t="s">
        <s:v>24</s:v>
      </s:c>
      <s:c r="I4" s="4">
        <s:v>2</s:v>
      </s:c>
      <s:c r="J4" s="4">
        <s:v>1.5</s:v>
      </s:c>
      <s:c r="M4" s="4" t="s">
        <s:v>24</s:v>
      </s:c>
      <s:c r="N4" s="4">
        <s:v>2</s:v>
      </s:c>
      <s:c r="O4" s="4">
        <s:v>1</s:v>
      </s:c>
      <s:c r="P4" t="s">
        <s:v>37</s:v>
      </s:c>
      <s:c r="R4" s="4" t="s">
        <s:v>24</s:v>
      </s:c>
      <s:c r="S4" s="4">
        <s:v>2</s:v>
      </s:c>
      <s:c r="T4" s="4">
        <s:v>1</s:v>
      </s:c>
      <s:c r="W4" s="4" t="s">
        <s:v>24</s:v>
      </s:c>
      <s:c r="X4" s="4">
        <s:v>2</s:v>
      </s:c>
      <s:c r="Y4" s="9">
        <s:f>Y3+1/3</s:f>
        <s:v>1.3333333333333333</s:v>
      </s:c>
      <s:c r="Z4" t="s">
        <s:v>39</s:v>
      </s:c>
      <s:c r="AB4" s="4" t="s">
        <s:v>24</s:v>
      </s:c>
      <s:c r="AC4" s="4">
        <s:v>2</s:v>
      </s:c>
      <s:c r="AD4" s="9">
        <s:f>AD3+1/3</s:f>
        <s:v>1.3333333333333333</s:v>
      </s:c>
      <s:c r="AE4" t="s">
        <s:v>39</s:v>
      </s:c>
      <s:c r="AG4" s="4" t="s">
        <s:v>24</s:v>
      </s:c>
      <s:c r="AH4" s="4">
        <s:v>2</s:v>
      </s:c>
      <s:c r="AI4" s="9">
        <s:f>AI3+1/3</s:f>
        <s:v>1.3333333333333333</s:v>
      </s:c>
      <s:c r="AL4" s="4" t="s">
        <s:v>24</s:v>
      </s:c>
      <s:c r="AM4" s="4">
        <s:v>2</s:v>
      </s:c>
      <s:c r="AN4" s="9">
        <s:f>AN3+1/3</s:f>
        <s:v>1.3333333333333333</s:v>
      </s:c>
      <s:c r="AQ4" s="4" t="s">
        <s:v>24</s:v>
      </s:c>
      <s:c r="AR4" s="4">
        <s:v>2</s:v>
      </s:c>
      <s:c r="AS4" s="9">
        <s:f>AS3+1/3</s:f>
        <s:v>1.3333333333333333</s:v>
      </s:c>
      <s:c r="AT4" s="4" t="s">
        <s:v>40</s:v>
      </s:c>
      <s:c r="AW4" s="4" t="s">
        <s:v>24</s:v>
      </s:c>
      <s:c r="AX4" s="4">
        <s:v>2</s:v>
      </s:c>
      <s:c r="AY4" s="9">
        <s:f>AY3+1/3</s:f>
        <s:v>1.3333333333333333</s:v>
      </s:c>
    </s:row>
    <s:row r="5">
      <s:c r="A5" s="70" t="s">
        <s:v>31</s:v>
      </s:c>
      <s:c r="B5" s="70" t="s">
        <s:v>14</s:v>
      </s:c>
      <s:c r="C5" s="4">
        <s:v>1</s:v>
      </s:c>
      <s:c r="D5" s="4">
        <s:v>2.5</s:v>
      </s:c>
      <s:c r="E5" s="4">
        <s:v>3.3</s:v>
      </s:c>
      <s:c r="H5" s="4" t="s">
        <s:v>25</s:v>
      </s:c>
      <s:c r="I5" s="4">
        <s:v>3</s:v>
      </s:c>
      <s:c r="J5" s="4">
        <s:v>2</s:v>
      </s:c>
      <s:c r="M5" s="4" t="s">
        <s:v>24</s:v>
      </s:c>
      <s:c r="N5" s="4">
        <s:v>3</s:v>
      </s:c>
      <s:c r="O5" s="4">
        <s:v>1</s:v>
      </s:c>
      <s:c r="P5" t="s">
        <s:v>30</s:v>
      </s:c>
      <s:c r="R5" s="4" t="s">
        <s:v>24</s:v>
      </s:c>
      <s:c r="S5" s="4">
        <s:v>3</s:v>
      </s:c>
      <s:c r="T5" s="4">
        <s:v>1</s:v>
      </s:c>
      <s:c r="W5" s="4" t="s">
        <s:v>24</s:v>
      </s:c>
      <s:c r="X5" s="4">
        <s:v>3</s:v>
      </s:c>
      <s:c r="Y5" s="9">
        <s:f>Y4+1/3</s:f>
        <s:v>1.6666666666666665</s:v>
      </s:c>
      <s:c r="AB5" s="4" t="s">
        <s:v>24</s:v>
      </s:c>
      <s:c r="AC5" s="4">
        <s:v>3</s:v>
      </s:c>
      <s:c r="AD5" s="9">
        <s:f>AD4+1/3</s:f>
        <s:v>1.6666666666666665</s:v>
      </s:c>
      <s:c r="AG5" s="4" t="s">
        <s:v>24</s:v>
      </s:c>
      <s:c r="AH5" s="4">
        <s:v>3</s:v>
      </s:c>
      <s:c r="AI5" s="9">
        <s:f>AI4+1/3</s:f>
        <s:v>1.6666666666666665</s:v>
      </s:c>
      <s:c r="AL5" s="4" t="s">
        <s:v>24</s:v>
      </s:c>
      <s:c r="AM5" s="4">
        <s:v>3</s:v>
      </s:c>
      <s:c r="AN5" s="9">
        <s:f>AN4+1/3</s:f>
        <s:v>1.6666666666666665</s:v>
      </s:c>
      <s:c r="AQ5" s="4" t="s">
        <s:v>24</s:v>
      </s:c>
      <s:c r="AR5" s="4">
        <s:v>3</s:v>
      </s:c>
      <s:c r="AS5" s="9">
        <s:f>AS4+1/3</s:f>
        <s:v>1.6666666666666665</s:v>
      </s:c>
      <s:c r="AW5" s="4" t="s">
        <s:v>24</s:v>
      </s:c>
      <s:c r="AX5" s="4">
        <s:v>3</s:v>
      </s:c>
      <s:c r="AY5" s="9">
        <s:f>AY4+1/3</s:f>
        <s:v>1.6666666666666665</s:v>
      </s:c>
    </s:row>
    <s:row r="6">
      <s:c r="A6" s="70" t="s">
        <s:v>31</s:v>
      </s:c>
      <s:c r="B6" s="70" t="s">
        <s:v>15</s:v>
      </s:c>
      <s:c r="C6" s="4">
        <s:v>1</s:v>
      </s:c>
      <s:c r="D6" s="4">
        <s:v>2.5</s:v>
      </s:c>
      <s:c r="E6" s="4">
        <s:v>3.3</s:v>
      </s:c>
      <s:c r="H6" s="4" t="s">
        <s:v>25</s:v>
      </s:c>
      <s:c r="I6" s="4">
        <s:v>4</s:v>
      </s:c>
      <s:c r="J6" s="4">
        <s:v>2.25</s:v>
      </s:c>
      <s:c r="M6" s="4" t="s">
        <s:v>25</s:v>
      </s:c>
      <s:c r="N6" s="4">
        <s:v>4</s:v>
      </s:c>
      <s:c r="O6" s="4">
        <s:v>1.5</s:v>
      </s:c>
      <s:c r="R6" s="4" t="s">
        <s:v>25</s:v>
      </s:c>
      <s:c r="S6" s="4">
        <s:v>4</s:v>
      </s:c>
      <s:c r="T6" s="4">
        <s:v>1.5</s:v>
      </s:c>
      <s:c r="W6" s="4" t="s">
        <s:v>25</s:v>
      </s:c>
      <s:c r="X6" s="4">
        <s:v>4</s:v>
      </s:c>
      <s:c r="Y6" s="9">
        <s:f>Y5+1/3</s:f>
        <s:v>1.9999999999999998</s:v>
      </s:c>
      <s:c r="AB6" s="4" t="s">
        <s:v>25</s:v>
      </s:c>
      <s:c r="AC6" s="4">
        <s:v>4</s:v>
      </s:c>
      <s:c r="AD6" s="9">
        <s:f>AD5+1/3</s:f>
        <s:v>1.9999999999999998</s:v>
      </s:c>
      <s:c r="AG6" s="4" t="s">
        <s:v>25</s:v>
      </s:c>
      <s:c r="AH6" s="4">
        <s:v>4</s:v>
      </s:c>
      <s:c r="AI6" s="9">
        <s:f>AI5+1/3</s:f>
        <s:v>1.9999999999999998</s:v>
      </s:c>
      <s:c r="AL6" s="4" t="s">
        <s:v>25</s:v>
      </s:c>
      <s:c r="AM6" s="4">
        <s:v>4</s:v>
      </s:c>
      <s:c r="AN6" s="9">
        <s:f>AN5+1/3</s:f>
        <s:v>1.9999999999999998</s:v>
      </s:c>
      <s:c r="AQ6" s="4" t="s">
        <s:v>25</s:v>
      </s:c>
      <s:c r="AR6" s="4">
        <s:v>4</s:v>
      </s:c>
      <s:c r="AS6" s="9">
        <s:f>AS5+1/3</s:f>
        <s:v>1.9999999999999998</s:v>
      </s:c>
      <s:c r="AW6" s="4" t="s">
        <s:v>25</s:v>
      </s:c>
      <s:c r="AX6" s="4">
        <s:v>4</s:v>
      </s:c>
      <s:c r="AY6" s="9">
        <s:f>AY5+1/3</s:f>
        <s:v>1.9999999999999998</s:v>
      </s:c>
    </s:row>
    <s:row r="7">
      <s:c r="A7" s="70" t="s">
        <s:v>31</s:v>
      </s:c>
      <s:c r="B7" s="70" t="s">
        <s:v>16</s:v>
      </s:c>
      <s:c r="C7" s="4">
        <s:v>1</s:v>
      </s:c>
      <s:c r="D7" s="4">
        <s:v>2.5</s:v>
      </s:c>
      <s:c r="E7" s="4">
        <s:v>3.3</s:v>
      </s:c>
      <s:c r="H7" s="4" t="s">
        <s:v>25</s:v>
      </s:c>
      <s:c r="I7" s="4">
        <s:v>5</s:v>
      </s:c>
      <s:c r="J7" s="4">
        <s:v>2.5</s:v>
      </s:c>
      <s:c r="M7" s="4" t="s">
        <s:v>25</s:v>
      </s:c>
      <s:c r="N7" s="4">
        <s:v>5</s:v>
      </s:c>
      <s:c r="O7" s="4">
        <s:v>1.5</s:v>
      </s:c>
      <s:c r="R7" s="4" t="s">
        <s:v>25</s:v>
      </s:c>
      <s:c r="S7" s="4">
        <s:v>5</s:v>
      </s:c>
      <s:c r="T7" s="4">
        <s:v>1.5</s:v>
      </s:c>
      <s:c r="W7" s="4" t="s">
        <s:v>25</s:v>
      </s:c>
      <s:c r="X7" s="4">
        <s:v>5</s:v>
      </s:c>
      <s:c r="Y7" s="9">
        <s:f>Y6+1/3</s:f>
        <s:v>2.333333333333333</s:v>
      </s:c>
      <s:c r="AB7" s="4" t="s">
        <s:v>25</s:v>
      </s:c>
      <s:c r="AC7" s="4">
        <s:v>5</s:v>
      </s:c>
      <s:c r="AD7" s="9">
        <s:f>AD6+1/3</s:f>
        <s:v>2.333333333333333</s:v>
      </s:c>
      <s:c r="AG7" s="4" t="s">
        <s:v>25</s:v>
      </s:c>
      <s:c r="AH7" s="4">
        <s:v>5</s:v>
      </s:c>
      <s:c r="AI7" s="9">
        <s:f>AI6+1/3</s:f>
        <s:v>2.333333333333333</s:v>
      </s:c>
      <s:c r="AL7" s="4" t="s">
        <s:v>25</s:v>
      </s:c>
      <s:c r="AM7" s="4">
        <s:v>5</s:v>
      </s:c>
      <s:c r="AN7" s="9">
        <s:f>AN6+1/3</s:f>
        <s:v>2.333333333333333</s:v>
      </s:c>
      <s:c r="AQ7" s="4" t="s">
        <s:v>25</s:v>
      </s:c>
      <s:c r="AR7" s="4">
        <s:v>5</s:v>
      </s:c>
      <s:c r="AS7" s="9">
        <s:f>AS6+1/3</s:f>
        <s:v>2.333333333333333</s:v>
      </s:c>
      <s:c r="AW7" s="4" t="s">
        <s:v>25</s:v>
      </s:c>
      <s:c r="AX7" s="4">
        <s:v>5</s:v>
      </s:c>
      <s:c r="AY7" s="9">
        <s:f>AY6+1/3</s:f>
        <s:v>2.333333333333333</s:v>
      </s:c>
    </s:row>
    <s:row r="8">
      <s:c r="A8" s="70" t="s">
        <s:v>31</s:v>
      </s:c>
      <s:c r="B8" s="70" t="s">
        <s:v>58</s:v>
      </s:c>
      <s:c r="C8" s="4">
        <s:v>1</s:v>
      </s:c>
      <s:c r="D8" s="4">
        <s:v>3</s:v>
      </s:c>
      <s:c r="E8" s="4">
        <s:v>5</s:v>
      </s:c>
      <s:c r="H8" s="4" t="s">
        <s:v>25</s:v>
      </s:c>
      <s:c r="I8" s="4">
        <s:v>6</s:v>
      </s:c>
      <s:c r="J8" s="4">
        <s:v>2.75</s:v>
      </s:c>
      <s:c r="M8" s="4" t="s">
        <s:v>25</s:v>
      </s:c>
      <s:c r="N8" s="4">
        <s:v>6</s:v>
      </s:c>
      <s:c r="O8" s="4">
        <s:v>1.5</s:v>
      </s:c>
      <s:c r="R8" s="4" t="s">
        <s:v>25</s:v>
      </s:c>
      <s:c r="S8" s="4">
        <s:v>6</s:v>
      </s:c>
      <s:c r="T8" s="4">
        <s:v>1.5</s:v>
      </s:c>
      <s:c r="W8" s="4" t="s">
        <s:v>25</s:v>
      </s:c>
      <s:c r="X8" s="4">
        <s:v>6</s:v>
      </s:c>
      <s:c r="Y8" s="9">
        <s:f>Y7+1/3</s:f>
        <s:v>2.6666666666666665</s:v>
      </s:c>
      <s:c r="AB8" s="4" t="s">
        <s:v>25</s:v>
      </s:c>
      <s:c r="AC8" s="4">
        <s:v>6</s:v>
      </s:c>
      <s:c r="AD8" s="9">
        <s:f>AD7+1/3</s:f>
        <s:v>2.6666666666666665</s:v>
      </s:c>
      <s:c r="AG8" s="4" t="s">
        <s:v>25</s:v>
      </s:c>
      <s:c r="AH8" s="4">
        <s:v>6</s:v>
      </s:c>
      <s:c r="AI8" s="9">
        <s:f>AI7+1/3</s:f>
        <s:v>2.6666666666666665</s:v>
      </s:c>
      <s:c r="AL8" s="4" t="s">
        <s:v>25</s:v>
      </s:c>
      <s:c r="AM8" s="4">
        <s:v>6</s:v>
      </s:c>
      <s:c r="AN8" s="9">
        <s:f>AN7+1/3</s:f>
        <s:v>2.6666666666666665</s:v>
      </s:c>
      <s:c r="AQ8" s="4" t="s">
        <s:v>25</s:v>
      </s:c>
      <s:c r="AR8" s="4">
        <s:v>6</s:v>
      </s:c>
      <s:c r="AS8" s="9">
        <s:f>AS7+1/3</s:f>
        <s:v>2.6666666666666665</s:v>
      </s:c>
      <s:c r="AW8" s="4" t="s">
        <s:v>25</s:v>
      </s:c>
      <s:c r="AX8" s="4">
        <s:v>6</s:v>
      </s:c>
      <s:c r="AY8" s="9">
        <s:f>AY7+1/3</s:f>
        <s:v>2.6666666666666665</s:v>
      </s:c>
    </s:row>
    <s:row r="9">
      <s:c r="A9" s="70" t="s">
        <s:v>31</s:v>
      </s:c>
      <s:c r="B9" s="70" t="s">
        <s:v>46</s:v>
      </s:c>
      <s:c r="C9" s="4">
        <s:v>1</s:v>
      </s:c>
      <s:c r="D9" s="4">
        <s:v>2</s:v>
      </s:c>
      <s:c r="E9" s="4">
        <s:v>3</s:v>
      </s:c>
      <s:c r="H9" s="6" t="s">
        <s:v>26</s:v>
      </s:c>
      <s:c r="I9" s="6">
        <s:v>7</s:v>
      </s:c>
      <s:c r="J9" s="6">
        <s:v>3</s:v>
      </s:c>
      <s:c r="M9" s="4" t="s">
        <s:v>25</s:v>
      </s:c>
      <s:c r="N9" s="4">
        <s:v>7</s:v>
      </s:c>
      <s:c r="O9" s="4">
        <s:v>1.5</s:v>
      </s:c>
      <s:c r="R9" s="4" t="s">
        <s:v>25</s:v>
      </s:c>
      <s:c r="S9" s="4">
        <s:v>7</s:v>
      </s:c>
      <s:c r="T9" s="4">
        <s:v>1.5</s:v>
      </s:c>
      <s:c r="W9" s="4" t="s">
        <s:v>25</s:v>
      </s:c>
      <s:c r="X9" s="4">
        <s:v>7</s:v>
      </s:c>
      <s:c r="Y9" s="9">
        <s:f>Y8+1/3</s:f>
        <s:v>3</s:v>
      </s:c>
      <s:c r="AB9" s="4" t="s">
        <s:v>25</s:v>
      </s:c>
      <s:c r="AC9" s="4">
        <s:v>7</s:v>
      </s:c>
      <s:c r="AD9" s="9">
        <s:f>AD8+1/3</s:f>
        <s:v>3</s:v>
      </s:c>
      <s:c r="AG9" s="4" t="s">
        <s:v>25</s:v>
      </s:c>
      <s:c r="AH9" s="4">
        <s:v>7</s:v>
      </s:c>
      <s:c r="AI9" s="9">
        <s:f>AI8+1/3</s:f>
        <s:v>3</s:v>
      </s:c>
      <s:c r="AL9" s="4" t="s">
        <s:v>25</s:v>
      </s:c>
      <s:c r="AM9" s="4">
        <s:v>7</s:v>
      </s:c>
      <s:c r="AN9" s="9">
        <s:f>AN8+1/3</s:f>
        <s:v>3</s:v>
      </s:c>
      <s:c r="AQ9" s="4" t="s">
        <s:v>25</s:v>
      </s:c>
      <s:c r="AR9" s="4">
        <s:v>7</s:v>
      </s:c>
      <s:c r="AS9" s="9">
        <s:f>AS8+1/3</s:f>
        <s:v>3</s:v>
      </s:c>
      <s:c r="AW9" s="4" t="s">
        <s:v>25</s:v>
      </s:c>
      <s:c r="AX9" s="4">
        <s:v>7</s:v>
      </s:c>
      <s:c r="AY9" s="9">
        <s:f>AY8+1/3</s:f>
        <s:v>3</s:v>
      </s:c>
    </s:row>
    <s:row r="10">
      <s:c r="A10" s="70" t="s">
        <s:v>31</s:v>
      </s:c>
      <s:c r="B10" s="70" t="s">
        <s:v>47</s:v>
      </s:c>
      <s:c r="C10" s="4">
        <s:v>1</s:v>
      </s:c>
      <s:c r="D10" s="4">
        <s:v>5</s:v>
      </s:c>
      <s:c r="E10" s="4">
        <s:v>10</s:v>
      </s:c>
      <s:c r="H10" s="4" t="s">
        <s:v>26</s:v>
      </s:c>
      <s:c r="I10" s="4">
        <s:v>8</s:v>
      </s:c>
      <s:c r="J10" s="4">
        <s:v>3</s:v>
      </s:c>
      <s:c r="M10" s="4" t="s">
        <s:v>25</s:v>
      </s:c>
      <s:c r="N10" s="4">
        <s:v>8</s:v>
      </s:c>
      <s:c r="O10" s="4">
        <s:v>1.5</s:v>
      </s:c>
      <s:c r="R10" s="4" t="s">
        <s:v>25</s:v>
      </s:c>
      <s:c r="S10" s="4">
        <s:v>8</s:v>
      </s:c>
      <s:c r="T10" s="4">
        <s:v>1.5</s:v>
      </s:c>
      <s:c r="W10" s="4" t="s">
        <s:v>25</s:v>
      </s:c>
      <s:c r="X10" s="4">
        <s:v>8</s:v>
      </s:c>
      <s:c r="Y10" s="9">
        <s:f>Y9+1/3</s:f>
        <s:v>3.3333333333333335</s:v>
      </s:c>
      <s:c r="AB10" s="4" t="s">
        <s:v>25</s:v>
      </s:c>
      <s:c r="AC10" s="4">
        <s:v>8</s:v>
      </s:c>
      <s:c r="AD10" s="9">
        <s:f>AD9+1/3</s:f>
        <s:v>3.3333333333333335</s:v>
      </s:c>
      <s:c r="AG10" s="4" t="s">
        <s:v>25</s:v>
      </s:c>
      <s:c r="AH10" s="4">
        <s:v>8</s:v>
      </s:c>
      <s:c r="AI10" s="9">
        <s:f>AI9+1/3</s:f>
        <s:v>3.3333333333333335</s:v>
      </s:c>
      <s:c r="AL10" s="4" t="s">
        <s:v>25</s:v>
      </s:c>
      <s:c r="AM10" s="4">
        <s:v>8</s:v>
      </s:c>
      <s:c r="AN10" s="9">
        <s:f>AN9+1/3</s:f>
        <s:v>3.3333333333333335</s:v>
      </s:c>
      <s:c r="AQ10" s="4" t="s">
        <s:v>25</s:v>
      </s:c>
      <s:c r="AR10" s="4">
        <s:v>8</s:v>
      </s:c>
      <s:c r="AS10" s="9">
        <s:f>AS9+1/3</s:f>
        <s:v>3.3333333333333335</s:v>
      </s:c>
      <s:c r="AW10" s="4" t="s">
        <s:v>25</s:v>
      </s:c>
      <s:c r="AX10" s="4">
        <s:v>8</s:v>
      </s:c>
      <s:c r="AY10" s="9">
        <s:f>AY9+1/3</s:f>
        <s:v>3.3333333333333335</s:v>
      </s:c>
    </s:row>
    <s:row r="11">
      <s:c r="A11" s="70" t="s">
        <s:v>31</s:v>
      </s:c>
      <s:c r="B11" s="70" t="s">
        <s:v>48</s:v>
      </s:c>
      <s:c r="C11" s="4">
        <s:v>1</s:v>
      </s:c>
      <s:c r="D11" s="4">
        <s:v>2</s:v>
      </s:c>
      <s:c r="E11" s="4">
        <s:v>3</s:v>
      </s:c>
      <s:c r="H11" s="4" t="s">
        <s:v>26</s:v>
      </s:c>
      <s:c r="I11" s="4">
        <s:v>9</s:v>
      </s:c>
      <s:c r="J11" s="4">
        <s:v>3</s:v>
      </s:c>
      <s:c r="M11" s="6" t="s">
        <s:v>26</s:v>
      </s:c>
      <s:c r="N11" s="6">
        <s:v>9</s:v>
      </s:c>
      <s:c r="O11" s="6">
        <s:v>2</s:v>
      </s:c>
      <s:c r="R11" s="6" t="s">
        <s:v>26</s:v>
      </s:c>
      <s:c r="S11" s="6">
        <s:v>9</s:v>
      </s:c>
      <s:c r="T11" s="6">
        <s:v>2</s:v>
      </s:c>
      <s:c r="W11" s="4" t="s">
        <s:v>25</s:v>
      </s:c>
      <s:c r="X11" s="7">
        <s:v>9</s:v>
      </s:c>
      <s:c r="Y11" s="9">
        <s:f>Y10+1/3</s:f>
        <s:v>3.666666666666667</s:v>
      </s:c>
      <s:c r="AB11" s="4" t="s">
        <s:v>25</s:v>
      </s:c>
      <s:c r="AC11" s="7">
        <s:v>9</s:v>
      </s:c>
      <s:c r="AD11" s="9">
        <s:f>AD10+1/3</s:f>
        <s:v>3.666666666666667</s:v>
      </s:c>
      <s:c r="AG11" s="4" t="s">
        <s:v>25</s:v>
      </s:c>
      <s:c r="AH11" s="7">
        <s:v>9</s:v>
      </s:c>
      <s:c r="AI11" s="9">
        <s:f>AI10+1/3</s:f>
        <s:v>3.666666666666667</s:v>
      </s:c>
      <s:c r="AL11" s="4" t="s">
        <s:v>25</s:v>
      </s:c>
      <s:c r="AM11" s="7">
        <s:v>9</s:v>
      </s:c>
      <s:c r="AN11" s="9">
        <s:f>AN10+1/3</s:f>
        <s:v>3.666666666666667</s:v>
      </s:c>
      <s:c r="AQ11" s="4" t="s">
        <s:v>25</s:v>
      </s:c>
      <s:c r="AR11" s="7">
        <s:v>9</s:v>
      </s:c>
      <s:c r="AS11" s="9">
        <s:f>AS10+1/3</s:f>
        <s:v>3.666666666666667</s:v>
      </s:c>
      <s:c r="AW11" s="4" t="s">
        <s:v>25</s:v>
      </s:c>
      <s:c r="AX11" s="7">
        <s:v>9</s:v>
      </s:c>
      <s:c r="AY11" s="9">
        <s:f>AY10+1/3</s:f>
        <s:v>3.666666666666667</s:v>
      </s:c>
    </s:row>
    <s:row r="12">
      <s:c r="A12" s="70" t="s">
        <s:v>100</s:v>
      </s:c>
      <s:c r="B12" s="70" t="s">
        <s:v>29</s:v>
      </s:c>
      <s:c r="C12" s="4">
        <s:v>1</s:v>
      </s:c>
      <s:c r="D12" s="4">
        <s:v>4</s:v>
      </s:c>
      <s:c r="E12" s="4">
        <s:v>9</s:v>
      </s:c>
      <s:c r="H12" s="4" t="s">
        <s:v>26</s:v>
      </s:c>
      <s:c r="I12" s="4">
        <s:v>10</s:v>
      </s:c>
      <s:c r="J12" s="4">
        <s:v>3</s:v>
      </s:c>
      <s:c r="M12" s="4" t="s">
        <s:v>26</s:v>
      </s:c>
      <s:c r="N12" s="4">
        <s:v>10</s:v>
      </s:c>
      <s:c r="O12" s="7">
        <s:v>2</s:v>
      </s:c>
      <s:c r="R12" s="4" t="s">
        <s:v>26</s:v>
      </s:c>
      <s:c r="S12" s="4">
        <s:v>10</s:v>
      </s:c>
      <s:c r="T12" s="7">
        <s:v>2</s:v>
      </s:c>
      <s:c r="W12" s="4" t="s">
        <s:v>25</s:v>
      </s:c>
      <s:c r="X12" s="4">
        <s:v>10</s:v>
      </s:c>
      <s:c r="Y12" s="9">
        <s:f>Y11+1/3</s:f>
        <s:v>4</s:v>
      </s:c>
      <s:c r="AB12" s="4" t="s">
        <s:v>25</s:v>
      </s:c>
      <s:c r="AC12" s="4">
        <s:v>10</s:v>
      </s:c>
      <s:c r="AD12" s="9">
        <s:f>AD11+1/3</s:f>
        <s:v>4</s:v>
      </s:c>
      <s:c r="AG12" s="4" t="s">
        <s:v>25</s:v>
      </s:c>
      <s:c r="AH12" s="4">
        <s:v>10</s:v>
      </s:c>
      <s:c r="AI12" s="9">
        <s:f>AI11+1/3</s:f>
        <s:v>4</s:v>
      </s:c>
      <s:c r="AL12" s="4" t="s">
        <s:v>25</s:v>
      </s:c>
      <s:c r="AM12" s="4">
        <s:v>10</s:v>
      </s:c>
      <s:c r="AN12" s="9">
        <s:f>AN11+1/3</s:f>
        <s:v>4</s:v>
      </s:c>
      <s:c r="AQ12" s="4" t="s">
        <s:v>25</s:v>
      </s:c>
      <s:c r="AR12" s="4">
        <s:v>10</s:v>
      </s:c>
      <s:c r="AS12" s="9">
        <s:f>AS11+1/3</s:f>
        <s:v>4</s:v>
      </s:c>
      <s:c r="AW12" s="4" t="s">
        <s:v>25</s:v>
      </s:c>
      <s:c r="AX12" s="4">
        <s:v>10</s:v>
      </s:c>
      <s:c r="AY12" s="9">
        <s:f>AY11+1/3</s:f>
        <s:v>4</s:v>
      </s:c>
    </s:row>
    <s:row r="13">
      <s:c r="A13" s="70" t="s">
        <s:v>100</s:v>
      </s:c>
      <s:c r="B13" s="70" t="s">
        <s:v>32</s:v>
      </s:c>
      <s:c r="C13" s="4">
        <s:v>1</s:v>
      </s:c>
      <s:c r="D13" s="4">
        <s:v>4</s:v>
      </s:c>
      <s:c r="E13" s="4">
        <s:v>9</s:v>
      </s:c>
      <s:c r="H13" s="4" t="s">
        <s:v>26</s:v>
      </s:c>
      <s:c r="I13" s="4">
        <s:v>11</s:v>
      </s:c>
      <s:c r="J13" s="4">
        <s:v>3</s:v>
      </s:c>
      <s:c r="M13" s="4" t="s">
        <s:v>26</s:v>
      </s:c>
      <s:c r="N13" s="4">
        <s:v>11</s:v>
      </s:c>
      <s:c r="O13" s="7">
        <s:v>2</s:v>
      </s:c>
      <s:c r="R13" s="4" t="s">
        <s:v>26</s:v>
      </s:c>
      <s:c r="S13" s="4">
        <s:v>11</s:v>
      </s:c>
      <s:c r="T13" s="7">
        <s:v>2</s:v>
      </s:c>
      <s:c r="W13" s="6" t="s">
        <s:v>26</s:v>
      </s:c>
      <s:c r="X13" s="6">
        <s:v>11</s:v>
      </s:c>
      <s:c r="Y13" s="10">
        <s:f>Y12+1/3</s:f>
        <s:v>4.333333333333333</s:v>
      </s:c>
      <s:c r="AB13" s="6" t="s">
        <s:v>26</s:v>
      </s:c>
      <s:c r="AC13" s="6">
        <s:v>11</s:v>
      </s:c>
      <s:c r="AD13" s="10">
        <s:f>AD12+1/3</s:f>
        <s:v>4.333333333333333</s:v>
      </s:c>
      <s:c r="AG13" s="6" t="s">
        <s:v>26</s:v>
      </s:c>
      <s:c r="AH13" s="6">
        <s:v>11</s:v>
      </s:c>
      <s:c r="AI13" s="10">
        <s:f>AI12+1/3</s:f>
        <s:v>4.333333333333333</s:v>
      </s:c>
      <s:c r="AL13" s="6" t="s">
        <s:v>26</s:v>
      </s:c>
      <s:c r="AM13" s="6">
        <s:v>11</s:v>
      </s:c>
      <s:c r="AN13" s="10">
        <s:f>AN12+1/3</s:f>
        <s:v>4.333333333333333</s:v>
      </s:c>
      <s:c r="AQ13" s="6" t="s">
        <s:v>26</s:v>
      </s:c>
      <s:c r="AR13" s="6">
        <s:v>11</s:v>
      </s:c>
      <s:c r="AS13" s="10">
        <s:f>AS12+1/3</s:f>
        <s:v>4.333333333333333</s:v>
      </s:c>
      <s:c r="AW13" s="6" t="s">
        <s:v>26</s:v>
      </s:c>
      <s:c r="AX13" s="6">
        <s:v>11</s:v>
      </s:c>
      <s:c r="AY13" s="10">
        <s:f>AY12+1/3</s:f>
        <s:v>4.333333333333333</s:v>
      </s:c>
    </s:row>
    <s:row r="14">
      <s:c r="A14" s="70" t="s">
        <s:v>100</s:v>
      </s:c>
      <s:c r="B14" s="70" t="s">
        <s:v>33</s:v>
      </s:c>
      <s:c r="C14" s="4">
        <s:v>1</s:v>
      </s:c>
      <s:c r="D14" s="4">
        <s:v>4</s:v>
      </s:c>
      <s:c r="E14" s="4">
        <s:v>11</s:v>
      </s:c>
      <s:c r="H14" s="4" t="s">
        <s:v>26</s:v>
      </s:c>
      <s:c r="I14" s="4">
        <s:v>12</s:v>
      </s:c>
      <s:c r="J14" s="4">
        <s:v>3</s:v>
      </s:c>
      <s:c r="M14" s="4" t="s">
        <s:v>26</s:v>
      </s:c>
      <s:c r="N14" s="4">
        <s:v>12</s:v>
      </s:c>
      <s:c r="O14" s="7">
        <s:v>2</s:v>
      </s:c>
      <s:c r="R14" s="4" t="s">
        <s:v>26</s:v>
      </s:c>
      <s:c r="S14" s="4">
        <s:v>12</s:v>
      </s:c>
      <s:c r="T14" s="7">
        <s:v>2</s:v>
      </s:c>
      <s:c r="W14" s="4" t="s">
        <s:v>26</s:v>
      </s:c>
      <s:c r="X14" s="4">
        <s:v>12</s:v>
      </s:c>
      <s:c r="Y14" s="9">
        <s:f>Y13+1/3</s:f>
        <s:v>4.6666666666666661</s:v>
      </s:c>
      <s:c r="AB14" s="4" t="s">
        <s:v>26</s:v>
      </s:c>
      <s:c r="AC14" s="4">
        <s:v>12</s:v>
      </s:c>
      <s:c r="AD14" s="9">
        <s:f>AD13+1/3</s:f>
        <s:v>4.6666666666666661</s:v>
      </s:c>
      <s:c r="AG14" s="4" t="s">
        <s:v>26</s:v>
      </s:c>
      <s:c r="AH14" s="4">
        <s:v>12</s:v>
      </s:c>
      <s:c r="AI14" s="9">
        <s:f>AI13+1/3</s:f>
        <s:v>4.6666666666666661</s:v>
      </s:c>
      <s:c r="AL14" s="4" t="s">
        <s:v>26</s:v>
      </s:c>
      <s:c r="AM14" s="4">
        <s:v>12</s:v>
      </s:c>
      <s:c r="AN14" s="9">
        <s:f>AN13+1/3</s:f>
        <s:v>4.6666666666666661</s:v>
      </s:c>
      <s:c r="AQ14" s="4" t="s">
        <s:v>26</s:v>
      </s:c>
      <s:c r="AR14" s="4">
        <s:v>12</s:v>
      </s:c>
      <s:c r="AS14" s="9">
        <s:f>AS13+1/3</s:f>
        <s:v>4.6666666666666661</s:v>
      </s:c>
      <s:c r="AW14" s="4" t="s">
        <s:v>26</s:v>
      </s:c>
      <s:c r="AX14" s="4">
        <s:v>12</s:v>
      </s:c>
      <s:c r="AY14" s="9">
        <s:f>AY13+1/3</s:f>
        <s:v>4.6666666666666661</s:v>
      </s:c>
    </s:row>
    <s:row r="15">
      <s:c r="A15" s="70" t="s">
        <s:v>100</s:v>
      </s:c>
      <s:c r="B15" s="70" t="s">
        <s:v>34</s:v>
      </s:c>
      <s:c r="C15" s="4">
        <s:v>1</s:v>
      </s:c>
      <s:c r="D15" s="4">
        <s:v>4</s:v>
      </s:c>
      <s:c r="E15" s="4">
        <s:v>11</s:v>
      </s:c>
      <s:c r="H15" s="4" t="s">
        <s:v>26</s:v>
      </s:c>
      <s:c r="I15" s="4">
        <s:v>13</s:v>
      </s:c>
      <s:c r="J15" s="4">
        <s:v>3</s:v>
      </s:c>
      <s:c r="M15" s="4" t="s">
        <s:v>26</s:v>
      </s:c>
      <s:c r="N15" s="4">
        <s:v>13</s:v>
      </s:c>
      <s:c r="O15" s="7">
        <s:v>2</s:v>
      </s:c>
      <s:c r="R15" s="4" t="s">
        <s:v>26</s:v>
      </s:c>
      <s:c r="S15" s="4">
        <s:v>13</s:v>
      </s:c>
      <s:c r="T15" s="7">
        <s:v>2</s:v>
      </s:c>
      <s:c r="W15" s="4" t="s">
        <s:v>26</s:v>
      </s:c>
      <s:c r="X15" s="4">
        <s:v>13</s:v>
      </s:c>
      <s:c r="Y15" s="9">
        <s:f>Y14+1/3</s:f>
        <s:v>4.9999999999999991</s:v>
      </s:c>
      <s:c r="AB15" s="4" t="s">
        <s:v>26</s:v>
      </s:c>
      <s:c r="AC15" s="4">
        <s:v>13</s:v>
      </s:c>
      <s:c r="AD15" s="9">
        <s:f>AD14+1/3</s:f>
        <s:v>4.9999999999999991</s:v>
      </s:c>
      <s:c r="AG15" s="4" t="s">
        <s:v>26</s:v>
      </s:c>
      <s:c r="AH15" s="4">
        <s:v>13</s:v>
      </s:c>
      <s:c r="AI15" s="9">
        <s:f>AI14+1/3</s:f>
        <s:v>4.9999999999999991</s:v>
      </s:c>
      <s:c r="AL15" s="4" t="s">
        <s:v>26</s:v>
      </s:c>
      <s:c r="AM15" s="4">
        <s:v>13</s:v>
      </s:c>
      <s:c r="AN15" s="9">
        <s:f>AN14+1/3</s:f>
        <s:v>4.9999999999999991</s:v>
      </s:c>
      <s:c r="AQ15" s="4" t="s">
        <s:v>26</s:v>
      </s:c>
      <s:c r="AR15" s="4">
        <s:v>13</s:v>
      </s:c>
      <s:c r="AS15" s="9">
        <s:f>AS14+1/3</s:f>
        <s:v>4.9999999999999991</s:v>
      </s:c>
      <s:c r="AW15" s="4" t="s">
        <s:v>26</s:v>
      </s:c>
      <s:c r="AX15" s="4">
        <s:v>13</s:v>
      </s:c>
      <s:c r="AY15" s="9">
        <s:f>AY14+1/3</s:f>
        <s:v>4.9999999999999991</s:v>
      </s:c>
    </s:row>
    <s:row r="16">
      <s:c r="A16" s="70" t="s">
        <s:v>100</s:v>
      </s:c>
      <s:c r="B16" s="70" t="s">
        <s:v>35</s:v>
      </s:c>
      <s:c r="C16" s="4">
        <s:v>1</s:v>
      </s:c>
      <s:c r="D16" s="4">
        <s:v>4</s:v>
      </s:c>
      <s:c r="E16" s="4">
        <s:v>11</s:v>
      </s:c>
      <s:c r="H16" s="4" t="s">
        <s:v>26</s:v>
      </s:c>
      <s:c r="I16" s="4">
        <s:v>14</s:v>
      </s:c>
      <s:c r="J16" s="4">
        <s:v>3</s:v>
      </s:c>
      <s:c r="M16" s="4" t="s">
        <s:v>26</s:v>
      </s:c>
      <s:c r="N16" s="4">
        <s:v>14</s:v>
      </s:c>
      <s:c r="O16" s="7">
        <s:v>2</s:v>
      </s:c>
      <s:c r="R16" s="4" t="s">
        <s:v>26</s:v>
      </s:c>
      <s:c r="S16" s="4">
        <s:v>14</s:v>
      </s:c>
      <s:c r="T16" s="7">
        <s:v>2</s:v>
      </s:c>
      <s:c r="W16" s="4" t="s">
        <s:v>26</s:v>
      </s:c>
      <s:c r="X16" s="4">
        <s:v>14</s:v>
      </s:c>
      <s:c r="Y16" s="9">
        <s:f>Y15+1/3</s:f>
        <s:v>5.3333333333333321</s:v>
      </s:c>
      <s:c r="AB16" s="4" t="s">
        <s:v>26</s:v>
      </s:c>
      <s:c r="AC16" s="4">
        <s:v>14</s:v>
      </s:c>
      <s:c r="AD16" s="9">
        <s:f>AD15+1/3</s:f>
        <s:v>5.3333333333333321</s:v>
      </s:c>
      <s:c r="AG16" s="4" t="s">
        <s:v>26</s:v>
      </s:c>
      <s:c r="AH16" s="4">
        <s:v>14</s:v>
      </s:c>
      <s:c r="AI16" s="9">
        <s:f>AI15+1/3</s:f>
        <s:v>5.3333333333333321</s:v>
      </s:c>
      <s:c r="AL16" s="4" t="s">
        <s:v>26</s:v>
      </s:c>
      <s:c r="AM16" s="4">
        <s:v>14</s:v>
      </s:c>
      <s:c r="AN16" s="9">
        <s:f>AN15+1/3</s:f>
        <s:v>5.3333333333333321</s:v>
      </s:c>
      <s:c r="AQ16" s="4" t="s">
        <s:v>26</s:v>
      </s:c>
      <s:c r="AR16" s="4">
        <s:v>14</s:v>
      </s:c>
      <s:c r="AS16" s="9">
        <s:f>AS15+1/3</s:f>
        <s:v>5.3333333333333321</s:v>
      </s:c>
      <s:c r="AW16" s="4" t="s">
        <s:v>26</s:v>
      </s:c>
      <s:c r="AX16" s="4">
        <s:v>14</s:v>
      </s:c>
      <s:c r="AY16" s="9">
        <s:f>AY15+1/3</s:f>
        <s:v>5.3333333333333321</s:v>
      </s:c>
    </s:row>
    <s:row r="17">
      <s:c r="A17" s="70" t="s">
        <s:v>100</s:v>
      </s:c>
      <s:c r="B17" s="70" t="s">
        <s:v>43</s:v>
      </s:c>
      <s:c r="C17" s="4">
        <s:v>1</s:v>
      </s:c>
      <s:c r="D17" s="4">
        <s:v>4</s:v>
      </s:c>
      <s:c r="E17" s="4">
        <s:v>11</s:v>
      </s:c>
      <s:c r="M17" s="4" t="s">
        <s:v>26</s:v>
      </s:c>
      <s:c r="N17" s="4">
        <s:v>15</s:v>
      </s:c>
      <s:c r="O17" s="7">
        <s:v>2</s:v>
      </s:c>
      <s:c r="R17" s="4" t="s">
        <s:v>26</s:v>
      </s:c>
      <s:c r="S17" s="4">
        <s:v>15</s:v>
      </s:c>
      <s:c r="T17" s="7">
        <s:v>2</s:v>
      </s:c>
      <s:c r="W17" s="4" t="s">
        <s:v>26</s:v>
      </s:c>
      <s:c r="X17" s="4">
        <s:v>15</s:v>
      </s:c>
      <s:c r="Y17" s="9">
        <s:f>Y16+1/3</s:f>
        <s:v>5.6666666666666652</s:v>
      </s:c>
      <s:c r="AB17" s="4" t="s">
        <s:v>26</s:v>
      </s:c>
      <s:c r="AC17" s="4">
        <s:v>15</s:v>
      </s:c>
      <s:c r="AD17" s="9">
        <s:f>AD16+1/3</s:f>
        <s:v>5.6666666666666652</s:v>
      </s:c>
      <s:c r="AG17" s="4" t="s">
        <s:v>26</s:v>
      </s:c>
      <s:c r="AH17" s="4">
        <s:v>15</s:v>
      </s:c>
      <s:c r="AI17" s="9">
        <s:f>AI16+1/3</s:f>
        <s:v>5.6666666666666652</s:v>
      </s:c>
      <s:c r="AL17" s="4" t="s">
        <s:v>26</s:v>
      </s:c>
      <s:c r="AM17" s="4">
        <s:v>15</s:v>
      </s:c>
      <s:c r="AN17" s="9">
        <s:f>AN16+1/3</s:f>
        <s:v>5.6666666666666652</s:v>
      </s:c>
      <s:c r="AQ17" s="4" t="s">
        <s:v>26</s:v>
      </s:c>
      <s:c r="AR17" s="4">
        <s:v>15</s:v>
      </s:c>
      <s:c r="AS17" s="9">
        <s:f>AS16+1/3</s:f>
        <s:v>5.6666666666666652</s:v>
      </s:c>
      <s:c r="AW17" s="4" t="s">
        <s:v>26</s:v>
      </s:c>
      <s:c r="AX17" s="4">
        <s:v>15</s:v>
      </s:c>
      <s:c r="AY17" s="9">
        <s:f>AY16+1/3</s:f>
        <s:v>5.6666666666666652</s:v>
      </s:c>
    </s:row>
    <s:row r="18">
      <s:c r="A18" s="70" t="s">
        <s:v>100</s:v>
      </s:c>
      <s:c r="B18" s="70" t="s">
        <s:v>44</s:v>
      </s:c>
      <s:c r="C18" s="4">
        <s:v>1</s:v>
      </s:c>
      <s:c r="D18" s="4">
        <s:v>4</s:v>
      </s:c>
      <s:c r="E18" s="4">
        <s:v>11</s:v>
      </s:c>
      <s:c r="M18" s="4" t="s">
        <s:v>26</s:v>
      </s:c>
      <s:c r="N18" s="4">
        <s:v>16</s:v>
      </s:c>
      <s:c r="O18" s="7">
        <s:v>2</s:v>
      </s:c>
      <s:c r="R18" s="4" t="s">
        <s:v>26</s:v>
      </s:c>
      <s:c r="S18" s="4">
        <s:v>16</s:v>
      </s:c>
      <s:c r="T18" s="7">
        <s:v>2</s:v>
      </s:c>
      <s:c r="W18" s="4" t="s">
        <s:v>26</s:v>
      </s:c>
      <s:c r="X18" s="4">
        <s:v>16</s:v>
      </s:c>
      <s:c r="Y18" s="9">
        <s:f>Y17+1/3</s:f>
        <s:v>5.9999999999999982</s:v>
      </s:c>
      <s:c r="AB18" s="4" t="s">
        <s:v>26</s:v>
      </s:c>
      <s:c r="AC18" s="4">
        <s:v>16</s:v>
      </s:c>
      <s:c r="AD18" s="9">
        <s:f>AD17+1/3</s:f>
        <s:v>5.9999999999999982</s:v>
      </s:c>
      <s:c r="AG18" s="4" t="s">
        <s:v>26</s:v>
      </s:c>
      <s:c r="AH18" s="4">
        <s:v>16</s:v>
      </s:c>
      <s:c r="AI18" s="9">
        <s:f>AI17+1/3</s:f>
        <s:v>5.9999999999999982</s:v>
      </s:c>
      <s:c r="AL18" s="4" t="s">
        <s:v>26</s:v>
      </s:c>
      <s:c r="AM18" s="4">
        <s:v>16</s:v>
      </s:c>
      <s:c r="AN18" s="9">
        <s:f>AN17+1/3</s:f>
        <s:v>5.9999999999999982</s:v>
      </s:c>
      <s:c r="AQ18" s="4" t="s">
        <s:v>26</s:v>
      </s:c>
      <s:c r="AR18" s="4">
        <s:v>16</s:v>
      </s:c>
      <s:c r="AS18" s="9">
        <s:f>AS17+1/3</s:f>
        <s:v>5.9999999999999982</s:v>
      </s:c>
      <s:c r="AW18" s="4" t="s">
        <s:v>26</s:v>
      </s:c>
      <s:c r="AX18" s="4">
        <s:v>16</s:v>
      </s:c>
      <s:c r="AY18" s="9">
        <s:f>AY17+1/3</s:f>
        <s:v>5.9999999999999982</s:v>
      </s:c>
    </s:row>
    <s:row r="19">
      <s:c r="A19" s="70" t="s">
        <s:v>100</s:v>
      </s:c>
      <s:c r="B19" s="70" t="s">
        <s:v>45</s:v>
      </s:c>
      <s:c r="C19" s="4">
        <s:v>1</s:v>
      </s:c>
      <s:c r="D19" s="4">
        <s:v>4</s:v>
      </s:c>
      <s:c r="E19" s="4">
        <s:v>11</s:v>
      </s:c>
      <s:c r="M19" s="4" t="s">
        <s:v>26</s:v>
      </s:c>
      <s:c r="N19" s="4">
        <s:v>17</s:v>
      </s:c>
      <s:c r="O19" s="7">
        <s:v>2</s:v>
      </s:c>
      <s:c r="R19" s="4" t="s">
        <s:v>26</s:v>
      </s:c>
      <s:c r="S19" s="4">
        <s:v>17</s:v>
      </s:c>
      <s:c r="T19" s="7">
        <s:v>2</s:v>
      </s:c>
      <s:c r="W19" s="4" t="s">
        <s:v>26</s:v>
      </s:c>
      <s:c r="X19" s="4">
        <s:v>17</s:v>
      </s:c>
      <s:c r="Y19" s="9">
        <s:f>Y18+1/3</s:f>
        <s:v>6.3333333333333313</s:v>
      </s:c>
      <s:c r="AB19" s="4" t="s">
        <s:v>26</s:v>
      </s:c>
      <s:c r="AC19" s="4">
        <s:v>17</s:v>
      </s:c>
      <s:c r="AD19" s="9">
        <s:f>AD18+1/3</s:f>
        <s:v>6.3333333333333313</s:v>
      </s:c>
      <s:c r="AG19" s="4" t="s">
        <s:v>26</s:v>
      </s:c>
      <s:c r="AH19" s="4">
        <s:v>17</s:v>
      </s:c>
      <s:c r="AI19" s="9">
        <s:f>AI18+1/3</s:f>
        <s:v>6.3333333333333313</s:v>
      </s:c>
      <s:c r="AL19" s="4" t="s">
        <s:v>26</s:v>
      </s:c>
      <s:c r="AM19" s="4">
        <s:v>17</s:v>
      </s:c>
      <s:c r="AN19" s="9">
        <s:f>AN18+1/3</s:f>
        <s:v>6.3333333333333313</s:v>
      </s:c>
      <s:c r="AQ19" s="4" t="s">
        <s:v>26</s:v>
      </s:c>
      <s:c r="AR19" s="4">
        <s:v>17</s:v>
      </s:c>
      <s:c r="AS19" s="9">
        <s:f>AS18+1/3</s:f>
        <s:v>6.3333333333333313</s:v>
      </s:c>
      <s:c r="AW19" s="4" t="s">
        <s:v>26</s:v>
      </s:c>
      <s:c r="AX19" s="4">
        <s:v>17</s:v>
      </s:c>
      <s:c r="AY19" s="9">
        <s:f>AY18+1/3</s:f>
        <s:v>6.3333333333333313</s:v>
      </s:c>
    </s:row>
    <s:row r="20">
      <s:c r="M20" s="4" t="s">
        <s:v>26</s:v>
      </s:c>
      <s:c r="N20" s="4">
        <s:v>18</s:v>
      </s:c>
      <s:c r="O20" s="4">
        <s:v>3</s:v>
      </s:c>
      <s:c r="R20" s="4" t="s">
        <s:v>26</s:v>
      </s:c>
      <s:c r="S20" s="4">
        <s:v>18</s:v>
      </s:c>
      <s:c r="T20" s="4">
        <s:v>3</s:v>
      </s:c>
      <s:c r="W20" s="4" t="s">
        <s:v>26</s:v>
      </s:c>
      <s:c r="X20" s="4">
        <s:v>18</s:v>
      </s:c>
      <s:c r="Y20" s="9">
        <s:f>Y19+1/3</s:f>
        <s:v>6.6666666666666643</s:v>
      </s:c>
      <s:c r="AB20" s="4" t="s">
        <s:v>26</s:v>
      </s:c>
      <s:c r="AC20" s="4">
        <s:v>18</s:v>
      </s:c>
      <s:c r="AD20" s="9">
        <s:f>AD19+1/3</s:f>
        <s:v>6.6666666666666643</s:v>
      </s:c>
      <s:c r="AG20" s="4" t="s">
        <s:v>26</s:v>
      </s:c>
      <s:c r="AH20" s="4">
        <s:v>18</s:v>
      </s:c>
      <s:c r="AI20" s="9">
        <s:f>AI19+1/3</s:f>
        <s:v>6.6666666666666643</s:v>
      </s:c>
      <s:c r="AL20" s="4" t="s">
        <s:v>26</s:v>
      </s:c>
      <s:c r="AM20" s="4">
        <s:v>18</s:v>
      </s:c>
      <s:c r="AN20" s="9">
        <s:f>AN19+1/3</s:f>
        <s:v>6.6666666666666643</s:v>
      </s:c>
      <s:c r="AQ20" s="4" t="s">
        <s:v>26</s:v>
      </s:c>
      <s:c r="AR20" s="4">
        <s:v>18</s:v>
      </s:c>
      <s:c r="AS20" s="9">
        <s:f>AS19+1/3</s:f>
        <s:v>6.6666666666666643</s:v>
      </s:c>
      <s:c r="AW20" s="4" t="s">
        <s:v>26</s:v>
      </s:c>
      <s:c r="AX20" s="4">
        <s:v>18</s:v>
      </s:c>
      <s:c r="AY20" s="9">
        <s:f>AY19+1/3</s:f>
        <s:v>6.6666666666666643</s:v>
      </s:c>
    </s:row>
    <s:row r="21">
      <s:c r="M21" s="4" t="s">
        <s:v>26</s:v>
      </s:c>
      <s:c r="N21" s="4">
        <s:v>19</s:v>
      </s:c>
      <s:c r="O21" s="4">
        <s:v>3</s:v>
      </s:c>
      <s:c r="R21" s="4" t="s">
        <s:v>26</s:v>
      </s:c>
      <s:c r="S21" s="4">
        <s:v>19</s:v>
      </s:c>
      <s:c r="T21" s="4">
        <s:v>3</s:v>
      </s:c>
      <s:c r="W21" s="4" t="s">
        <s:v>26</s:v>
      </s:c>
      <s:c r="X21" s="4">
        <s:v>19</s:v>
      </s:c>
      <s:c r="Y21" s="9">
        <s:f>Y20+1/3</s:f>
        <s:v>6.9999999999999973</s:v>
      </s:c>
      <s:c r="AB21" s="4" t="s">
        <s:v>26</s:v>
      </s:c>
      <s:c r="AC21" s="4">
        <s:v>19</s:v>
      </s:c>
      <s:c r="AD21" s="9">
        <s:f>AD20+1/3</s:f>
        <s:v>6.9999999999999973</s:v>
      </s:c>
      <s:c r="AG21" s="4" t="s">
        <s:v>26</s:v>
      </s:c>
      <s:c r="AH21" s="4">
        <s:v>19</s:v>
      </s:c>
      <s:c r="AI21" s="9">
        <s:f>AI20+1/3</s:f>
        <s:v>6.9999999999999973</s:v>
      </s:c>
      <s:c r="AL21" s="4" t="s">
        <s:v>26</s:v>
      </s:c>
      <s:c r="AM21" s="4">
        <s:v>19</s:v>
      </s:c>
      <s:c r="AN21" s="9">
        <s:f>AN20+1/3</s:f>
        <s:v>6.9999999999999973</s:v>
      </s:c>
      <s:c r="AQ21" s="4" t="s">
        <s:v>26</s:v>
      </s:c>
      <s:c r="AR21" s="4">
        <s:v>19</s:v>
      </s:c>
      <s:c r="AS21" s="9">
        <s:f>AS20+1/3</s:f>
        <s:v>6.9999999999999973</s:v>
      </s:c>
      <s:c r="AW21" s="4" t="s">
        <s:v>26</s:v>
      </s:c>
      <s:c r="AX21" s="4">
        <s:v>19</s:v>
      </s:c>
      <s:c r="AY21" s="9">
        <s:f>AY20+1/3</s:f>
        <s:v>6.9999999999999973</s:v>
      </s:c>
    </s:row>
    <s:row r="22">
      <s:c r="M22" s="4" t="s">
        <s:v>26</s:v>
      </s:c>
      <s:c r="N22" s="4">
        <s:v>20</s:v>
      </s:c>
      <s:c r="O22" s="4">
        <s:v>3</s:v>
      </s:c>
      <s:c r="R22" s="4" t="s">
        <s:v>26</s:v>
      </s:c>
      <s:c r="S22" s="4">
        <s:v>20</s:v>
      </s:c>
      <s:c r="T22" s="4">
        <s:v>3</s:v>
      </s:c>
      <s:c r="W22" s="4" t="s">
        <s:v>26</s:v>
      </s:c>
      <s:c r="X22" s="4">
        <s:v>20</s:v>
      </s:c>
      <s:c r="Y22" s="9">
        <s:f>Y21+1/3</s:f>
        <s:v>7.3333333333333304</s:v>
      </s:c>
      <s:c r="AB22" s="4" t="s">
        <s:v>26</s:v>
      </s:c>
      <s:c r="AC22" s="4">
        <s:v>20</s:v>
      </s:c>
      <s:c r="AD22" s="9">
        <s:f>AD21+1/3</s:f>
        <s:v>7.3333333333333304</s:v>
      </s:c>
      <s:c r="AG22" s="4" t="s">
        <s:v>26</s:v>
      </s:c>
      <s:c r="AH22" s="4">
        <s:v>20</s:v>
      </s:c>
      <s:c r="AI22" s="9">
        <s:f>AI21+1/3</s:f>
        <s:v>7.3333333333333304</s:v>
      </s:c>
      <s:c r="AL22" s="4" t="s">
        <s:v>26</s:v>
      </s:c>
      <s:c r="AM22" s="4">
        <s:v>20</s:v>
      </s:c>
      <s:c r="AN22" s="9">
        <s:f>AN21+1/3</s:f>
        <s:v>7.3333333333333304</s:v>
      </s:c>
      <s:c r="AQ22" s="4" t="s">
        <s:v>26</s:v>
      </s:c>
      <s:c r="AR22" s="4">
        <s:v>20</s:v>
      </s:c>
      <s:c r="AS22" s="9">
        <s:f>AS21+1/3</s:f>
        <s:v>7.3333333333333304</s:v>
      </s:c>
      <s:c r="AW22" s="4" t="s">
        <s:v>26</s:v>
      </s:c>
      <s:c r="AX22" s="4">
        <s:v>20</s:v>
      </s:c>
      <s:c r="AY22" s="9">
        <s:f>AY21+1/3</s:f>
        <s:v>7.3333333333333304</s:v>
      </s:c>
    </s:row>
    <s:row r="23">
      <s:c r="M23" s="4" t="s">
        <s:v>26</s:v>
      </s:c>
      <s:c r="N23" s="4">
        <s:v>21</s:v>
      </s:c>
      <s:c r="O23" s="4">
        <s:v>3</s:v>
      </s:c>
      <s:c r="R23" s="4" t="s">
        <s:v>26</s:v>
      </s:c>
      <s:c r="S23" s="4">
        <s:v>21</s:v>
      </s:c>
      <s:c r="T23" s="4">
        <s:v>3</s:v>
      </s:c>
      <s:c r="W23" s="4" t="s">
        <s:v>26</s:v>
      </s:c>
      <s:c r="X23" s="4">
        <s:v>21</s:v>
      </s:c>
      <s:c r="Y23" s="9">
        <s:f>Y22+1/3</s:f>
        <s:v>7.6666666666666634</s:v>
      </s:c>
      <s:c r="AB23" s="4" t="s">
        <s:v>26</s:v>
      </s:c>
      <s:c r="AC23" s="4">
        <s:v>21</s:v>
      </s:c>
      <s:c r="AD23" s="9">
        <s:f>AD22+1/3</s:f>
        <s:v>7.6666666666666634</s:v>
      </s:c>
      <s:c r="AG23" s="4" t="s">
        <s:v>26</s:v>
      </s:c>
      <s:c r="AH23" s="4">
        <s:v>21</s:v>
      </s:c>
      <s:c r="AI23" s="9">
        <s:f>AI22+1/3</s:f>
        <s:v>7.6666666666666634</s:v>
      </s:c>
      <s:c r="AL23" s="4" t="s">
        <s:v>26</s:v>
      </s:c>
      <s:c r="AM23" s="4">
        <s:v>21</s:v>
      </s:c>
      <s:c r="AN23" s="9">
        <s:f>AN22+1/3</s:f>
        <s:v>7.6666666666666634</s:v>
      </s:c>
      <s:c r="AQ23" s="4" t="s">
        <s:v>26</s:v>
      </s:c>
      <s:c r="AR23" s="4">
        <s:v>21</s:v>
      </s:c>
      <s:c r="AS23" s="9">
        <s:f>AS22+1/3</s:f>
        <s:v>7.6666666666666634</s:v>
      </s:c>
      <s:c r="AW23" s="4" t="s">
        <s:v>26</s:v>
      </s:c>
      <s:c r="AX23" s="4">
        <s:v>21</s:v>
      </s:c>
      <s:c r="AY23" s="9">
        <s:f>AY22+1/3</s:f>
        <s:v>7.6666666666666634</s:v>
      </s:c>
    </s:row>
    <s:row r="24" ht="15">
      <s:c r="M24" s="4" t="s">
        <s:v>26</s:v>
      </s:c>
      <s:c r="N24" s="4">
        <s:v>22</s:v>
      </s:c>
      <s:c r="O24" s="4">
        <s:v>3</s:v>
      </s:c>
      <s:c r="R24" s="4" t="s">
        <s:v>26</s:v>
      </s:c>
      <s:c r="S24" s="4">
        <s:v>22</s:v>
      </s:c>
      <s:c r="T24" s="4">
        <s:v>3</s:v>
      </s:c>
      <s:c r="W24" s="4" t="s">
        <s:v>26</s:v>
      </s:c>
      <s:c r="X24" s="4">
        <s:v>22</s:v>
      </s:c>
      <s:c r="Y24" s="9">
        <s:f>Y23+1/3</s:f>
        <s:v>7.9999999999999964</s:v>
      </s:c>
      <s:c r="AB24" s="4" t="s">
        <s:v>26</s:v>
      </s:c>
      <s:c r="AC24" s="4">
        <s:v>22</s:v>
      </s:c>
      <s:c r="AD24" s="9">
        <s:f>AD23+1/3</s:f>
        <s:v>7.9999999999999964</s:v>
      </s:c>
      <s:c r="AG24" s="4" t="s">
        <s:v>26</s:v>
      </s:c>
      <s:c r="AH24" s="4">
        <s:v>22</s:v>
      </s:c>
      <s:c r="AI24" s="9">
        <s:f>AI23+1/3</s:f>
        <s:v>7.9999999999999964</s:v>
      </s:c>
      <s:c r="AL24" s="4" t="s">
        <s:v>26</s:v>
      </s:c>
      <s:c r="AM24" s="4">
        <s:v>22</s:v>
      </s:c>
      <s:c r="AN24" s="9">
        <s:f>AN23+1/3</s:f>
        <s:v>7.9999999999999964</s:v>
      </s:c>
      <s:c r="AQ24" s="4" t="s">
        <s:v>26</s:v>
      </s:c>
      <s:c r="AR24" s="4">
        <s:v>22</s:v>
      </s:c>
      <s:c r="AS24" s="9">
        <s:f>AS23+1/3</s:f>
        <s:v>7.9999999999999964</s:v>
      </s:c>
      <s:c r="AW24" s="4" t="s">
        <s:v>26</s:v>
      </s:c>
      <s:c r="AX24" s="4">
        <s:v>22</s:v>
      </s:c>
      <s:c r="AY24" s="9">
        <s:f>AY23+1/3</s:f>
        <s:v>7.9999999999999964</s:v>
      </s:c>
    </s:row>
    <s:row r="25">
      <s:c r="A25" s="86" t="s">
        <s:v>104</s:v>
      </s:c>
      <s:c r="B25" s="22"/>
      <s:c r="C25" s="25"/>
      <s:c r="D25" s="22" t="s">
        <s:v>127</s:v>
      </s:c>
      <s:c r="E25" s="23"/>
      <s:c r="M25" s="4" t="s">
        <s:v>26</s:v>
      </s:c>
      <s:c r="N25" s="4">
        <s:v>23</s:v>
      </s:c>
      <s:c r="O25" s="4">
        <s:v>3</s:v>
      </s:c>
      <s:c r="R25" s="4" t="s">
        <s:v>26</s:v>
      </s:c>
      <s:c r="S25" s="4">
        <s:v>23</s:v>
      </s:c>
      <s:c r="T25" s="4">
        <s:v>3</s:v>
      </s:c>
      <s:c r="W25" s="4" t="s">
        <s:v>26</s:v>
      </s:c>
      <s:c r="X25" s="4">
        <s:v>23</s:v>
      </s:c>
      <s:c r="Y25" s="9">
        <s:f>Y24+1/3</s:f>
        <s:v>8.3333333333333304</s:v>
      </s:c>
      <s:c r="AB25" s="4" t="s">
        <s:v>26</s:v>
      </s:c>
      <s:c r="AC25" s="4">
        <s:v>23</s:v>
      </s:c>
      <s:c r="AD25" s="9">
        <s:f>AD24+1/3</s:f>
        <s:v>8.3333333333333304</s:v>
      </s:c>
      <s:c r="AG25" s="4" t="s">
        <s:v>26</s:v>
      </s:c>
      <s:c r="AH25" s="4">
        <s:v>23</s:v>
      </s:c>
      <s:c r="AI25" s="9">
        <s:f>AI24+1/3</s:f>
        <s:v>8.3333333333333304</s:v>
      </s:c>
      <s:c r="AL25" s="4" t="s">
        <s:v>26</s:v>
      </s:c>
      <s:c r="AM25" s="4">
        <s:v>23</s:v>
      </s:c>
      <s:c r="AN25" s="9">
        <s:f>AN24+1/3</s:f>
        <s:v>8.3333333333333304</s:v>
      </s:c>
      <s:c r="AQ25" s="4" t="s">
        <s:v>26</s:v>
      </s:c>
      <s:c r="AR25" s="4">
        <s:v>23</s:v>
      </s:c>
      <s:c r="AS25" s="9">
        <s:f>AS24+1/3</s:f>
        <s:v>8.3333333333333304</s:v>
      </s:c>
      <s:c r="AW25" s="4" t="s">
        <s:v>26</s:v>
      </s:c>
      <s:c r="AX25" s="4">
        <s:v>23</s:v>
      </s:c>
      <s:c r="AY25" s="9">
        <s:f>AY24+1/3</s:f>
        <s:v>8.3333333333333304</s:v>
      </s:c>
    </s:row>
    <s:row r="26">
      <s:c r="A26" s="87" t="s">
        <s:v>103</s:v>
      </s:c>
      <s:c r="B26" s="29" t="s">
        <s:v>101</s:v>
      </s:c>
      <s:c r="C26" s="26" t="s">
        <s:v>102</s:v>
      </s:c>
      <s:c r="D26" s="29" t="s">
        <s:v>101</s:v>
      </s:c>
      <s:c r="E26" s="24" t="s">
        <s:v>102</s:v>
      </s:c>
      <s:c r="M26" s="4" t="s">
        <s:v>26</s:v>
      </s:c>
      <s:c r="N26" s="4">
        <s:v>24</s:v>
      </s:c>
      <s:c r="O26" s="4">
        <s:v>3</s:v>
      </s:c>
      <s:c r="R26" s="4" t="s">
        <s:v>26</s:v>
      </s:c>
      <s:c r="S26" s="4">
        <s:v>24</s:v>
      </s:c>
      <s:c r="T26" s="4">
        <s:v>3</s:v>
      </s:c>
      <s:c r="W26" s="4" t="s">
        <s:v>26</s:v>
      </s:c>
      <s:c r="X26" s="4">
        <s:v>24</s:v>
      </s:c>
      <s:c r="Y26" s="9">
        <s:f>Y25+1/3</s:f>
        <s:v>8.6666666666666643</s:v>
      </s:c>
      <s:c r="AB26" s="4" t="s">
        <s:v>26</s:v>
      </s:c>
      <s:c r="AC26" s="4">
        <s:v>24</s:v>
      </s:c>
      <s:c r="AD26" s="9">
        <s:f>AD25+1/3</s:f>
        <s:v>8.6666666666666643</s:v>
      </s:c>
      <s:c r="AG26" s="4" t="s">
        <s:v>26</s:v>
      </s:c>
      <s:c r="AH26" s="4">
        <s:v>24</s:v>
      </s:c>
      <s:c r="AI26" s="9">
        <s:f>AI25+1/3</s:f>
        <s:v>8.6666666666666643</s:v>
      </s:c>
      <s:c r="AL26" s="4" t="s">
        <s:v>26</s:v>
      </s:c>
      <s:c r="AM26" s="4">
        <s:v>24</s:v>
      </s:c>
      <s:c r="AN26" s="9">
        <s:f>AN25+1/3</s:f>
        <s:v>8.6666666666666643</s:v>
      </s:c>
      <s:c r="AQ26" s="4" t="s">
        <s:v>26</s:v>
      </s:c>
      <s:c r="AR26" s="4">
        <s:v>24</s:v>
      </s:c>
      <s:c r="AS26" s="9">
        <s:f>AS25+1/3</s:f>
        <s:v>8.6666666666666643</s:v>
      </s:c>
      <s:c r="AW26" s="4" t="s">
        <s:v>26</s:v>
      </s:c>
      <s:c r="AX26" s="4">
        <s:v>24</s:v>
      </s:c>
      <s:c r="AY26" s="9">
        <s:f>AY25+1/3</s:f>
        <s:v>8.6666666666666643</s:v>
      </s:c>
    </s:row>
    <s:row r="27">
      <s:c r="A27" s="87" t="s">
        <s:v>108</s:v>
      </s:c>
      <s:c r="B27" s="32">
        <s:v>1410</s:v>
      </s:c>
      <s:c r="C27" s="27">
        <s:f>B27*8</s:f>
        <s:v>11280</s:v>
      </s:c>
      <s:c r="D27" s="32">
        <s:v>1810</s:v>
      </s:c>
      <s:c r="E27" s="30">
        <s:f>D27*8</s:f>
        <s:v>14480</s:v>
      </s:c>
      <s:c r="M27" s="4" t="s">
        <s:v>26</s:v>
      </s:c>
      <s:c r="N27" s="4">
        <s:v>25</s:v>
      </s:c>
      <s:c r="O27" s="4">
        <s:v>3</s:v>
      </s:c>
      <s:c r="R27" s="4" t="s">
        <s:v>26</s:v>
      </s:c>
      <s:c r="S27" s="4">
        <s:v>25</s:v>
      </s:c>
      <s:c r="T27" s="4">
        <s:v>3</s:v>
      </s:c>
      <s:c r="W27" s="4" t="s">
        <s:v>26</s:v>
      </s:c>
      <s:c r="X27" s="4">
        <s:v>25</s:v>
      </s:c>
      <s:c r="Y27" s="9">
        <s:f>Y26+1/3</s:f>
        <s:v>8.9999999999999982</s:v>
      </s:c>
      <s:c r="AB27" s="4" t="s">
        <s:v>26</s:v>
      </s:c>
      <s:c r="AC27" s="4">
        <s:v>25</s:v>
      </s:c>
      <s:c r="AD27" s="9">
        <s:f>AD26+1/3</s:f>
        <s:v>8.9999999999999982</s:v>
      </s:c>
      <s:c r="AG27" s="4" t="s">
        <s:v>26</s:v>
      </s:c>
      <s:c r="AH27" s="4">
        <s:v>25</s:v>
      </s:c>
      <s:c r="AI27" s="9">
        <s:f>AI26+1/3</s:f>
        <s:v>8.9999999999999982</s:v>
      </s:c>
      <s:c r="AL27" s="4" t="s">
        <s:v>26</s:v>
      </s:c>
      <s:c r="AM27" s="4">
        <s:v>25</s:v>
      </s:c>
      <s:c r="AN27" s="9">
        <s:f>AN26+1/3</s:f>
        <s:v>8.9999999999999982</s:v>
      </s:c>
      <s:c r="AQ27" s="4" t="s">
        <s:v>26</s:v>
      </s:c>
      <s:c r="AR27" s="4">
        <s:v>25</s:v>
      </s:c>
      <s:c r="AS27" s="9">
        <s:f>AS26+1/3</s:f>
        <s:v>8.9999999999999982</s:v>
      </s:c>
      <s:c r="AW27" s="4" t="s">
        <s:v>26</s:v>
      </s:c>
      <s:c r="AX27" s="4">
        <s:v>25</s:v>
      </s:c>
      <s:c r="AY27" s="9">
        <s:f>AY26+1/3</s:f>
        <s:v>8.9999999999999982</s:v>
      </s:c>
    </s:row>
    <s:row r="28">
      <s:c r="A28" s="87" t="s">
        <s:v>105</s:v>
      </s:c>
      <s:c r="B28" s="32">
        <s:v>2160</s:v>
      </s:c>
      <s:c r="C28" s="27">
        <s:f>B28*8</s:f>
        <s:v>17280</s:v>
      </s:c>
      <s:c r="D28" s="32">
        <s:v>2890</s:v>
      </s:c>
      <s:c r="E28" s="30">
        <s:f>D28*8</s:f>
        <s:v>23120</s:v>
      </s:c>
      <s:c r="M28" s="4" t="s">
        <s:v>26</s:v>
      </s:c>
      <s:c r="N28" s="4">
        <s:v>26</s:v>
      </s:c>
      <s:c r="O28" s="4">
        <s:v>3</s:v>
      </s:c>
      <s:c r="R28" s="4" t="s">
        <s:v>26</s:v>
      </s:c>
      <s:c r="S28" s="4">
        <s:v>26</s:v>
      </s:c>
      <s:c r="T28" s="4">
        <s:v>3</s:v>
      </s:c>
      <s:c r="W28" s="4" t="s">
        <s:v>26</s:v>
      </s:c>
      <s:c r="X28" s="4">
        <s:v>26</s:v>
      </s:c>
      <s:c r="Y28" s="9">
        <s:f>Y27+1/3</s:f>
        <s:v>9.3333333333333321</s:v>
      </s:c>
      <s:c r="AB28" s="4" t="s">
        <s:v>26</s:v>
      </s:c>
      <s:c r="AC28" s="4">
        <s:v>26</s:v>
      </s:c>
      <s:c r="AD28" s="9">
        <s:f>AD27+1/3</s:f>
        <s:v>9.3333333333333321</s:v>
      </s:c>
      <s:c r="AG28" s="4" t="s">
        <s:v>26</s:v>
      </s:c>
      <s:c r="AH28" s="4">
        <s:v>26</s:v>
      </s:c>
      <s:c r="AI28" s="9">
        <s:f>AI27+1/3</s:f>
        <s:v>9.3333333333333321</s:v>
      </s:c>
      <s:c r="AL28" s="4" t="s">
        <s:v>26</s:v>
      </s:c>
      <s:c r="AM28" s="4">
        <s:v>26</s:v>
      </s:c>
      <s:c r="AN28" s="9">
        <s:f>AN27+1/3</s:f>
        <s:v>9.3333333333333321</s:v>
      </s:c>
      <s:c r="AQ28" s="4" t="s">
        <s:v>26</s:v>
      </s:c>
      <s:c r="AR28" s="4">
        <s:v>26</s:v>
      </s:c>
      <s:c r="AS28" s="9">
        <s:f>AS27+1/3</s:f>
        <s:v>9.3333333333333321</s:v>
      </s:c>
      <s:c r="AW28" s="4" t="s">
        <s:v>26</s:v>
      </s:c>
      <s:c r="AX28" s="4">
        <s:v>26</s:v>
      </s:c>
      <s:c r="AY28" s="9">
        <s:f>AY27+1/3</s:f>
        <s:v>9.3333333333333321</s:v>
      </s:c>
    </s:row>
    <s:row r="29">
      <s:c r="A29" s="87" t="s">
        <s:v>106</s:v>
      </s:c>
      <s:c r="B29" s="32">
        <s:v>2780</s:v>
      </s:c>
      <s:c r="C29" s="27">
        <s:f>B29*8</s:f>
        <s:v>22240</s:v>
      </s:c>
      <s:c r="D29" s="32">
        <s:v>3910</s:v>
      </s:c>
      <s:c r="E29" s="30">
        <s:f>D29*8</s:f>
        <s:v>31280</s:v>
      </s:c>
      <s:c r="M29" s="4" t="s">
        <s:v>26</s:v>
      </s:c>
      <s:c r="N29" s="4">
        <s:v>27</s:v>
      </s:c>
      <s:c r="O29" s="4">
        <s:v>4</s:v>
      </s:c>
      <s:c r="R29" s="4" t="s">
        <s:v>26</s:v>
      </s:c>
      <s:c r="S29" s="4">
        <s:v>27</s:v>
      </s:c>
      <s:c r="T29" s="4">
        <s:v>4</s:v>
      </s:c>
      <s:c r="W29" s="4" t="s">
        <s:v>26</s:v>
      </s:c>
      <s:c r="X29" s="4">
        <s:v>27</s:v>
      </s:c>
      <s:c r="Y29" s="9">
        <s:f>Y28+1/3</s:f>
        <s:v>9.6666666666666661</s:v>
      </s:c>
      <s:c r="AB29" s="4" t="s">
        <s:v>26</s:v>
      </s:c>
      <s:c r="AC29" s="4">
        <s:v>27</s:v>
      </s:c>
      <s:c r="AD29" s="9">
        <s:f>AD28+1/3</s:f>
        <s:v>9.6666666666666661</s:v>
      </s:c>
      <s:c r="AG29" s="4" t="s">
        <s:v>26</s:v>
      </s:c>
      <s:c r="AH29" s="4">
        <s:v>27</s:v>
      </s:c>
      <s:c r="AI29" s="9">
        <s:f>AI28+1/3</s:f>
        <s:v>9.6666666666666661</s:v>
      </s:c>
      <s:c r="AL29" s="4" t="s">
        <s:v>26</s:v>
      </s:c>
      <s:c r="AM29" s="4">
        <s:v>27</s:v>
      </s:c>
      <s:c r="AN29" s="9">
        <s:f>AN28+1/3</s:f>
        <s:v>9.6666666666666661</s:v>
      </s:c>
      <s:c r="AQ29" s="4" t="s">
        <s:v>26</s:v>
      </s:c>
      <s:c r="AR29" s="4">
        <s:v>27</s:v>
      </s:c>
      <s:c r="AS29" s="9">
        <s:f>AS28+1/3</s:f>
        <s:v>9.6666666666666661</s:v>
      </s:c>
      <s:c r="AW29" s="4" t="s">
        <s:v>26</s:v>
      </s:c>
      <s:c r="AX29" s="4">
        <s:v>27</s:v>
      </s:c>
      <s:c r="AY29" s="9">
        <s:f>AY28+1/3</s:f>
        <s:v>9.6666666666666661</s:v>
      </s:c>
    </s:row>
    <s:row r="30">
      <s:c r="A30" s="87" t="s">
        <s:v>107</s:v>
      </s:c>
      <s:c r="B30" s="32">
        <s:v>3720</s:v>
      </s:c>
      <s:c r="C30" s="27">
        <s:f>B30*8</s:f>
        <s:v>29760</s:v>
      </s:c>
      <s:c r="D30" s="32">
        <s:v>5220</s:v>
      </s:c>
      <s:c r="E30" s="30">
        <s:f>D30*8</s:f>
        <s:v>41760</s:v>
      </s:c>
      <s:c r="M30" s="4" t="s">
        <s:v>26</s:v>
      </s:c>
      <s:c r="N30" s="4">
        <s:v>28</s:v>
      </s:c>
      <s:c r="O30" s="4">
        <s:v>4</s:v>
      </s:c>
      <s:c r="R30" s="4" t="s">
        <s:v>26</s:v>
      </s:c>
      <s:c r="S30" s="4">
        <s:v>28</s:v>
      </s:c>
      <s:c r="T30" s="4">
        <s:v>4</s:v>
      </s:c>
      <s:c r="W30" s="4" t="s">
        <s:v>26</s:v>
      </s:c>
      <s:c r="X30" s="4">
        <s:v>28</s:v>
      </s:c>
      <s:c r="Y30" s="9">
        <s:f>Y29+1/3</s:f>
        <s:v>10</s:v>
      </s:c>
      <s:c r="AB30" s="4" t="s">
        <s:v>26</s:v>
      </s:c>
      <s:c r="AC30" s="4">
        <s:v>28</s:v>
      </s:c>
      <s:c r="AD30" s="9">
        <s:f>AD29+1/3</s:f>
        <s:v>10</s:v>
      </s:c>
      <s:c r="AG30" s="4" t="s">
        <s:v>26</s:v>
      </s:c>
      <s:c r="AH30" s="4">
        <s:v>28</s:v>
      </s:c>
      <s:c r="AI30" s="9">
        <s:f>AI29+1/3</s:f>
        <s:v>10</s:v>
      </s:c>
      <s:c r="AL30" s="4" t="s">
        <s:v>26</s:v>
      </s:c>
      <s:c r="AM30" s="4">
        <s:v>28</s:v>
      </s:c>
      <s:c r="AN30" s="9">
        <s:f>AN29+1/3</s:f>
        <s:v>10</s:v>
      </s:c>
      <s:c r="AQ30" s="4" t="s">
        <s:v>26</s:v>
      </s:c>
      <s:c r="AR30" s="4">
        <s:v>28</s:v>
      </s:c>
      <s:c r="AS30" s="9">
        <s:f>AS29+1/3</s:f>
        <s:v>10</s:v>
      </s:c>
      <s:c r="AW30" s="4" t="s">
        <s:v>26</s:v>
      </s:c>
      <s:c r="AX30" s="4">
        <s:v>28</s:v>
      </s:c>
      <s:c r="AY30" s="9">
        <s:f>AY29+1/3</s:f>
        <s:v>10</s:v>
      </s:c>
    </s:row>
    <s:row r="31" ht="15">
      <s:c r="A31" s="87" t="s">
        <s:v>109</s:v>
      </s:c>
      <s:c r="B31" s="33">
        <s:v>4330</s:v>
      </s:c>
      <s:c r="C31" s="28">
        <s:f>B31*8</s:f>
        <s:v>34640</s:v>
      </s:c>
      <s:c r="D31" s="33">
        <s:v>6680</s:v>
      </s:c>
      <s:c r="E31" s="88">
        <s:f>D31*8</s:f>
        <s:v>53440</s:v>
      </s:c>
      <s:c r="M31" s="4" t="s">
        <s:v>26</s:v>
      </s:c>
      <s:c r="N31" s="4">
        <s:v>29</s:v>
      </s:c>
      <s:c r="O31" s="4">
        <s:v>4</s:v>
      </s:c>
      <s:c r="R31" s="4" t="s">
        <s:v>26</s:v>
      </s:c>
      <s:c r="S31" s="4">
        <s:v>29</s:v>
      </s:c>
      <s:c r="T31" s="4">
        <s:v>4</s:v>
      </s:c>
      <s:c r="W31" s="4" t="s">
        <s:v>26</s:v>
      </s:c>
      <s:c r="X31" s="4">
        <s:v>29</s:v>
      </s:c>
      <s:c r="Y31" s="9">
        <s:f>Y30+1/3</s:f>
        <s:v>10.333333333333334</s:v>
      </s:c>
      <s:c r="AB31" s="4" t="s">
        <s:v>26</s:v>
      </s:c>
      <s:c r="AC31" s="4">
        <s:v>29</s:v>
      </s:c>
      <s:c r="AD31" s="9">
        <s:f>AD30+1/3</s:f>
        <s:v>10.333333333333334</s:v>
      </s:c>
      <s:c r="AG31" s="4" t="s">
        <s:v>26</s:v>
      </s:c>
      <s:c r="AH31" s="4">
        <s:v>29</s:v>
      </s:c>
      <s:c r="AI31" s="9">
        <s:f>AI30+1/3</s:f>
        <s:v>10.333333333333334</s:v>
      </s:c>
      <s:c r="AL31" s="4" t="s">
        <s:v>26</s:v>
      </s:c>
      <s:c r="AM31" s="4">
        <s:v>29</s:v>
      </s:c>
      <s:c r="AN31" s="9">
        <s:f>AN30+1/3</s:f>
        <s:v>10.333333333333334</s:v>
      </s:c>
      <s:c r="AQ31" s="4" t="s">
        <s:v>26</s:v>
      </s:c>
      <s:c r="AR31" s="4">
        <s:v>29</s:v>
      </s:c>
      <s:c r="AS31" s="9">
        <s:f>AS30+1/3</s:f>
        <s:v>10.333333333333334</s:v>
      </s:c>
      <s:c r="AW31" s="4" t="s">
        <s:v>26</s:v>
      </s:c>
      <s:c r="AX31" s="4">
        <s:v>29</s:v>
      </s:c>
      <s:c r="AY31" s="9">
        <s:f>AY30+1/3</s:f>
        <s:v>10.333333333333334</s:v>
      </s:c>
    </s:row>
    <s:row r="32" ht="15">
      <s:c r="M32" s="4" t="s">
        <s:v>26</s:v>
      </s:c>
      <s:c r="N32" s="4">
        <s:v>30</s:v>
      </s:c>
      <s:c r="O32" s="4">
        <s:v>4</s:v>
      </s:c>
      <s:c r="R32" s="4" t="s">
        <s:v>26</s:v>
      </s:c>
      <s:c r="S32" s="4">
        <s:v>30</s:v>
      </s:c>
      <s:c r="T32" s="4">
        <s:v>4</s:v>
      </s:c>
      <s:c r="W32" s="4" t="s">
        <s:v>26</s:v>
      </s:c>
      <s:c r="X32" s="4">
        <s:v>30</s:v>
      </s:c>
      <s:c r="Y32" s="9">
        <s:f>Y31+1/3</s:f>
        <s:v>10.666666666666668</s:v>
      </s:c>
      <s:c r="AB32" s="4" t="s">
        <s:v>26</s:v>
      </s:c>
      <s:c r="AC32" s="4">
        <s:v>30</s:v>
      </s:c>
      <s:c r="AD32" s="9">
        <s:f>AD31+1/3</s:f>
        <s:v>10.666666666666668</s:v>
      </s:c>
      <s:c r="AG32" s="4" t="s">
        <s:v>26</s:v>
      </s:c>
      <s:c r="AH32" s="4">
        <s:v>30</s:v>
      </s:c>
      <s:c r="AI32" s="9">
        <s:f>AI31+1/3</s:f>
        <s:v>10.666666666666668</s:v>
      </s:c>
      <s:c r="AL32" s="4" t="s">
        <s:v>26</s:v>
      </s:c>
      <s:c r="AM32" s="4">
        <s:v>30</s:v>
      </s:c>
      <s:c r="AN32" s="9">
        <s:f>AN31+1/3</s:f>
        <s:v>10.666666666666668</s:v>
      </s:c>
      <s:c r="AQ32" s="4" t="s">
        <s:v>26</s:v>
      </s:c>
      <s:c r="AR32" s="4">
        <s:v>30</s:v>
      </s:c>
      <s:c r="AS32" s="9">
        <s:f>AS31+1/3</s:f>
        <s:v>10.666666666666668</s:v>
      </s:c>
      <s:c r="AW32" s="4" t="s">
        <s:v>26</s:v>
      </s:c>
      <s:c r="AX32" s="4">
        <s:v>30</s:v>
      </s:c>
      <s:c r="AY32" s="9">
        <s:f>AY31+1/3</s:f>
        <s:v>10.666666666666668</s:v>
      </s:c>
    </s:row>
    <s:row r="33" ht="15">
      <s:c r="A33" s="86" t="s">
        <s:v>128</s:v>
      </s:c>
      <s:c r="B33" s="89"/>
      <s:c r="C33" s="90"/>
      <s:c r="D33" s="89" t="s">
        <s:v>129</s:v>
      </s:c>
      <s:c r="E33" s="93"/>
      <s:c r="G33" s="86" t="s">
        <s:v>128</s:v>
      </s:c>
      <s:c r="H33" s="89"/>
      <s:c r="I33" s="90"/>
      <s:c r="J33" s="89" t="s">
        <s:v>129</s:v>
      </s:c>
      <s:c r="K33" s="93"/>
      <s:c r="M33" s="4" t="s">
        <s:v>26</s:v>
      </s:c>
      <s:c r="N33" s="4">
        <s:v>31</s:v>
      </s:c>
      <s:c r="O33" s="4">
        <s:v>4</s:v>
      </s:c>
      <s:c r="R33" s="4" t="s">
        <s:v>26</s:v>
      </s:c>
      <s:c r="S33" s="4">
        <s:v>31</s:v>
      </s:c>
      <s:c r="T33" s="4">
        <s:v>4</s:v>
      </s:c>
      <s:c r="W33" s="4" t="s">
        <s:v>26</s:v>
      </s:c>
      <s:c r="X33" s="4">
        <s:v>31</s:v>
      </s:c>
      <s:c r="Y33" s="9">
        <s:f>Y32+1/3</s:f>
        <s:v>11.000000000000002</s:v>
      </s:c>
      <s:c r="AB33" s="4" t="s">
        <s:v>26</s:v>
      </s:c>
      <s:c r="AC33" s="4">
        <s:v>31</s:v>
      </s:c>
      <s:c r="AD33" s="9">
        <s:f>AD32+1/3</s:f>
        <s:v>11.000000000000002</s:v>
      </s:c>
      <s:c r="AG33" s="4" t="s">
        <s:v>26</s:v>
      </s:c>
      <s:c r="AH33" s="4">
        <s:v>31</s:v>
      </s:c>
      <s:c r="AI33" s="9">
        <s:f>AI32+1/3</s:f>
        <s:v>11.000000000000002</s:v>
      </s:c>
      <s:c r="AL33" s="4" t="s">
        <s:v>26</s:v>
      </s:c>
      <s:c r="AM33" s="4">
        <s:v>31</s:v>
      </s:c>
      <s:c r="AN33" s="9">
        <s:f>AN32+1/3</s:f>
        <s:v>11.000000000000002</s:v>
      </s:c>
      <s:c r="AQ33" s="4" t="s">
        <s:v>26</s:v>
      </s:c>
      <s:c r="AR33" s="4">
        <s:v>31</s:v>
      </s:c>
      <s:c r="AS33" s="9">
        <s:f>AS32+1/3</s:f>
        <s:v>11.000000000000002</s:v>
      </s:c>
      <s:c r="AW33" s="4" t="s">
        <s:v>26</s:v>
      </s:c>
      <s:c r="AX33" s="4">
        <s:v>31</s:v>
      </s:c>
      <s:c r="AY33" s="9">
        <s:f>AY32+1/3</s:f>
        <s:v>11.000000000000002</s:v>
      </s:c>
    </s:row>
    <s:row r="34">
      <s:c r="A34" s="87" t="s">
        <s:v>103</s:v>
      </s:c>
      <s:c r="B34" s="22" t="s">
        <s:v>101</s:v>
      </s:c>
      <s:c r="C34" s="23" t="s">
        <s:v>102</s:v>
      </s:c>
      <s:c r="D34" s="22" t="s">
        <s:v>101</s:v>
      </s:c>
      <s:c r="E34" s="23" t="s">
        <s:v>102</s:v>
      </s:c>
      <s:c r="G34" s="87" t="s">
        <s:v>103</s:v>
      </s:c>
      <s:c r="H34" s="22" t="s">
        <s:v>101</s:v>
      </s:c>
      <s:c r="I34" s="23" t="s">
        <s:v>102</s:v>
      </s:c>
      <s:c r="J34" s="22" t="s">
        <s:v>101</s:v>
      </s:c>
      <s:c r="K34" s="23" t="s">
        <s:v>102</s:v>
      </s:c>
      <s:c r="M34" s="4" t="s">
        <s:v>26</s:v>
      </s:c>
      <s:c r="N34" s="4">
        <s:v>32</s:v>
      </s:c>
      <s:c r="O34" s="4">
        <s:v>4</s:v>
      </s:c>
      <s:c r="R34" s="4" t="s">
        <s:v>26</s:v>
      </s:c>
      <s:c r="S34" s="4">
        <s:v>32</s:v>
      </s:c>
      <s:c r="T34" s="4">
        <s:v>4</s:v>
      </s:c>
      <s:c r="W34" s="4" t="s">
        <s:v>26</s:v>
      </s:c>
      <s:c r="X34" s="4">
        <s:v>32</s:v>
      </s:c>
      <s:c r="Y34" s="9">
        <s:f>Y33+1/3</s:f>
        <s:v>11.333333333333336</s:v>
      </s:c>
      <s:c r="AB34" s="4" t="s">
        <s:v>26</s:v>
      </s:c>
      <s:c r="AC34" s="4">
        <s:v>32</s:v>
      </s:c>
      <s:c r="AD34" s="9">
        <s:f>AD33+1/3</s:f>
        <s:v>11.333333333333336</s:v>
      </s:c>
      <s:c r="AG34" s="4" t="s">
        <s:v>26</s:v>
      </s:c>
      <s:c r="AH34" s="4">
        <s:v>32</s:v>
      </s:c>
      <s:c r="AI34" s="9">
        <s:f>AI33+1/3</s:f>
        <s:v>11.333333333333336</s:v>
      </s:c>
      <s:c r="AL34" s="4" t="s">
        <s:v>26</s:v>
      </s:c>
      <s:c r="AM34" s="4">
        <s:v>32</s:v>
      </s:c>
      <s:c r="AN34" s="9">
        <s:f>AN33+1/3</s:f>
        <s:v>11.333333333333336</s:v>
      </s:c>
      <s:c r="AQ34" s="4" t="s">
        <s:v>26</s:v>
      </s:c>
      <s:c r="AR34" s="4">
        <s:v>32</s:v>
      </s:c>
      <s:c r="AS34" s="9">
        <s:f>AS33+1/3</s:f>
        <s:v>11.333333333333336</s:v>
      </s:c>
      <s:c r="AW34" s="4" t="s">
        <s:v>26</s:v>
      </s:c>
      <s:c r="AX34" s="4">
        <s:v>32</s:v>
      </s:c>
      <s:c r="AY34" s="9">
        <s:f>AY33+1/3</s:f>
        <s:v>11.333333333333336</s:v>
      </s:c>
    </s:row>
    <s:row r="35">
      <s:c r="A35" s="87" t="s">
        <s:v>108</s:v>
      </s:c>
      <s:c r="B35" s="32">
        <s:f>B27*1.1</s:f>
        <s:v>1551.0000000000002</s:v>
      </s:c>
      <s:c r="C35" s="91">
        <s:f>B35*8</s:f>
        <s:v>12408.000000000002</s:v>
      </s:c>
      <s:c r="D35" s="32">
        <s:f>D27*1.1</s:f>
        <s:v>1991.0000000000002</s:v>
      </s:c>
      <s:c r="E35" s="30">
        <s:f>D35*8</s:f>
        <s:v>15928.000000000002</s:v>
      </s:c>
      <s:c r="G35" s="87" t="s">
        <s:v>109</s:v>
      </s:c>
      <s:c r="H35" s="94">
        <s:f>VLOOKUP($G35,$A$35:$E$39,2,0)</s:f>
        <s:v>4763</s:v>
      </s:c>
      <s:c r="I35" s="94">
        <s:f>VLOOKUP($G35,$A$35:$E$39,3,0)</s:f>
        <s:v>38104</s:v>
      </s:c>
      <s:c r="J35" s="94">
        <s:f>VLOOKUP($G35,$A$35:$E$39,4,0)</s:f>
        <s:v>7348.0000000000009</s:v>
      </s:c>
      <s:c r="K35" s="95">
        <s:f>VLOOKUP($G35,$A$35:$E$39,5,0)</s:f>
        <s:v>58784.000000000007</s:v>
      </s:c>
      <s:c r="M35" s="4" t="s">
        <s:v>26</s:v>
      </s:c>
      <s:c r="N35" s="4">
        <s:v>33</s:v>
      </s:c>
      <s:c r="O35" s="4">
        <s:v>4</s:v>
      </s:c>
      <s:c r="R35" s="4" t="s">
        <s:v>26</s:v>
      </s:c>
      <s:c r="S35" s="4">
        <s:v>33</s:v>
      </s:c>
      <s:c r="T35" s="4">
        <s:v>4</s:v>
      </s:c>
      <s:c r="W35" s="4" t="s">
        <s:v>26</s:v>
      </s:c>
      <s:c r="X35" s="4">
        <s:v>33</s:v>
      </s:c>
      <s:c r="Y35" s="9">
        <s:f>Y34+1/3</s:f>
        <s:v>11.66666666666667</s:v>
      </s:c>
      <s:c r="AB35" s="4" t="s">
        <s:v>26</s:v>
      </s:c>
      <s:c r="AC35" s="4">
        <s:v>33</s:v>
      </s:c>
      <s:c r="AD35" s="9">
        <s:f>AD34+1/3</s:f>
        <s:v>11.66666666666667</s:v>
      </s:c>
      <s:c r="AG35" s="4" t="s">
        <s:v>26</s:v>
      </s:c>
      <s:c r="AH35" s="4">
        <s:v>33</s:v>
      </s:c>
      <s:c r="AI35" s="9">
        <s:f>AI34+1/3</s:f>
        <s:v>11.66666666666667</s:v>
      </s:c>
      <s:c r="AL35" s="4" t="s">
        <s:v>26</s:v>
      </s:c>
      <s:c r="AM35" s="4">
        <s:v>33</s:v>
      </s:c>
      <s:c r="AN35" s="9">
        <s:f>AN34+1/3</s:f>
        <s:v>11.66666666666667</s:v>
      </s:c>
      <s:c r="AQ35" s="4" t="s">
        <s:v>26</s:v>
      </s:c>
      <s:c r="AR35" s="4">
        <s:v>33</s:v>
      </s:c>
      <s:c r="AS35" s="9">
        <s:f>AS34+1/3</s:f>
        <s:v>11.66666666666667</s:v>
      </s:c>
      <s:c r="AW35" s="4" t="s">
        <s:v>26</s:v>
      </s:c>
      <s:c r="AX35" s="4">
        <s:v>33</s:v>
      </s:c>
      <s:c r="AY35" s="9">
        <s:f>AY34+1/3</s:f>
        <s:v>11.66666666666667</s:v>
      </s:c>
    </s:row>
    <s:row r="36">
      <s:c r="A36" s="87" t="s">
        <s:v>105</s:v>
      </s:c>
      <s:c r="B36" s="32">
        <s:f>B28*1.1</s:f>
        <s:v>2376</s:v>
      </s:c>
      <s:c r="C36" s="91">
        <s:f>B36*8</s:f>
        <s:v>19008</s:v>
      </s:c>
      <s:c r="D36" s="32">
        <s:f>D28*1.1</s:f>
        <s:v>3179.0000000000005</s:v>
      </s:c>
      <s:c r="E36" s="30">
        <s:f>D36*8</s:f>
        <s:v>25432.000000000004</s:v>
      </s:c>
      <s:c r="G36" s="87" t="s">
        <s:v>107</s:v>
      </s:c>
      <s:c r="H36" s="94">
        <s:f>VLOOKUP($G36,$A$35:$E$39,2,0)</s:f>
        <s:v>4092.0000000000005</s:v>
      </s:c>
      <s:c r="I36" s="94">
        <s:f>VLOOKUP($G36,$A$35:$E$39,3,0)</s:f>
        <s:v>32736.000000000004</s:v>
      </s:c>
      <s:c r="J36" s="94">
        <s:f>VLOOKUP($G36,$A$35:$E$39,4,0)</s:f>
        <s:v>5742.0000000000009</s:v>
      </s:c>
      <s:c r="K36" s="95">
        <s:f>VLOOKUP($G36,$A$35:$E$39,5,0)</s:f>
        <s:v>45936.000000000007</s:v>
      </s:c>
      <s:c r="M36" s="4" t="s">
        <s:v>26</s:v>
      </s:c>
      <s:c r="N36" s="4">
        <s:v>34</s:v>
      </s:c>
      <s:c r="O36" s="4">
        <s:v>4</s:v>
      </s:c>
      <s:c r="R36" s="4" t="s">
        <s:v>26</s:v>
      </s:c>
      <s:c r="S36" s="4">
        <s:v>34</s:v>
      </s:c>
      <s:c r="T36" s="4">
        <s:v>4</s:v>
      </s:c>
      <s:c r="W36" s="4" t="s">
        <s:v>26</s:v>
      </s:c>
      <s:c r="X36" s="4">
        <s:v>34</s:v>
      </s:c>
      <s:c r="Y36" s="9">
        <s:f>Y35+1/3</s:f>
        <s:v>12.000000000000004</s:v>
      </s:c>
      <s:c r="AB36" s="4" t="s">
        <s:v>26</s:v>
      </s:c>
      <s:c r="AC36" s="4">
        <s:v>34</s:v>
      </s:c>
      <s:c r="AD36" s="9">
        <s:f>AD35+1/3</s:f>
        <s:v>12.000000000000004</s:v>
      </s:c>
      <s:c r="AG36" s="4" t="s">
        <s:v>26</s:v>
      </s:c>
      <s:c r="AH36" s="4">
        <s:v>34</s:v>
      </s:c>
      <s:c r="AI36" s="9">
        <s:f>AI35+1/3</s:f>
        <s:v>12.000000000000004</s:v>
      </s:c>
      <s:c r="AL36" s="4" t="s">
        <s:v>26</s:v>
      </s:c>
      <s:c r="AM36" s="4">
        <s:v>34</s:v>
      </s:c>
      <s:c r="AN36" s="9">
        <s:f>AN35+1/3</s:f>
        <s:v>12.000000000000004</s:v>
      </s:c>
      <s:c r="AQ36" s="4" t="s">
        <s:v>26</s:v>
      </s:c>
      <s:c r="AR36" s="4">
        <s:v>34</s:v>
      </s:c>
      <s:c r="AS36" s="9">
        <s:f>AS35+1/3</s:f>
        <s:v>12.000000000000004</s:v>
      </s:c>
      <s:c r="AW36" s="4" t="s">
        <s:v>26</s:v>
      </s:c>
      <s:c r="AX36" s="4">
        <s:v>34</s:v>
      </s:c>
      <s:c r="AY36" s="9">
        <s:f>AY35+1/3</s:f>
        <s:v>12.000000000000004</s:v>
      </s:c>
    </s:row>
    <s:row r="37">
      <s:c r="A37" s="87" t="s">
        <s:v>106</s:v>
      </s:c>
      <s:c r="B37" s="32">
        <s:f>B29*1.1</s:f>
        <s:v>3058.0000000000005</s:v>
      </s:c>
      <s:c r="C37" s="91">
        <s:f>B37*8</s:f>
        <s:v>24464.000000000004</s:v>
      </s:c>
      <s:c r="D37" s="32">
        <s:f>D29*1.1</s:f>
        <s:v>4301</s:v>
      </s:c>
      <s:c r="E37" s="30">
        <s:f>D37*8</s:f>
        <s:v>34408</s:v>
      </s:c>
      <s:c r="G37" s="87" t="s">
        <s:v>106</s:v>
      </s:c>
      <s:c r="H37" s="94">
        <s:f>VLOOKUP($G37,$A$35:$E$39,2,0)</s:f>
        <s:v>3058.0000000000005</s:v>
      </s:c>
      <s:c r="I37" s="94">
        <s:f>VLOOKUP($G37,$A$35:$E$39,3,0)</s:f>
        <s:v>24464.000000000004</s:v>
      </s:c>
      <s:c r="J37" s="94">
        <s:f>VLOOKUP($G37,$A$35:$E$39,4,0)</s:f>
        <s:v>4301</s:v>
      </s:c>
      <s:c r="K37" s="95">
        <s:f>VLOOKUP($G37,$A$35:$E$39,5,0)</s:f>
        <s:v>34408</s:v>
      </s:c>
      <s:c r="M37" s="4" t="s">
        <s:v>26</s:v>
      </s:c>
      <s:c r="N37" s="4">
        <s:v>35</s:v>
      </s:c>
      <s:c r="O37" s="4">
        <s:v>4</s:v>
      </s:c>
      <s:c r="R37" s="4" t="s">
        <s:v>26</s:v>
      </s:c>
      <s:c r="S37" s="4">
        <s:v>35</s:v>
      </s:c>
      <s:c r="T37" s="4">
        <s:v>4</s:v>
      </s:c>
      <s:c r="W37" s="4" t="s">
        <s:v>26</s:v>
      </s:c>
      <s:c r="X37" s="4">
        <s:v>35</s:v>
      </s:c>
      <s:c r="Y37" s="9">
        <s:f>Y36+1/3</s:f>
        <s:v>12.333333333333337</s:v>
      </s:c>
      <s:c r="AB37" s="4" t="s">
        <s:v>26</s:v>
      </s:c>
      <s:c r="AC37" s="4">
        <s:v>35</s:v>
      </s:c>
      <s:c r="AD37" s="9">
        <s:f>AD36+1/3</s:f>
        <s:v>12.333333333333337</s:v>
      </s:c>
      <s:c r="AG37" s="4" t="s">
        <s:v>26</s:v>
      </s:c>
      <s:c r="AH37" s="4">
        <s:v>35</s:v>
      </s:c>
      <s:c r="AI37" s="9">
        <s:f>AI36+1/3</s:f>
        <s:v>12.333333333333337</s:v>
      </s:c>
      <s:c r="AL37" s="4" t="s">
        <s:v>26</s:v>
      </s:c>
      <s:c r="AM37" s="4">
        <s:v>35</s:v>
      </s:c>
      <s:c r="AN37" s="9">
        <s:f>AN36+1/3</s:f>
        <s:v>12.333333333333337</s:v>
      </s:c>
      <s:c r="AQ37" s="4" t="s">
        <s:v>26</s:v>
      </s:c>
      <s:c r="AR37" s="4">
        <s:v>35</s:v>
      </s:c>
      <s:c r="AS37" s="9">
        <s:f>AS36+1/3</s:f>
        <s:v>12.333333333333337</s:v>
      </s:c>
      <s:c r="AW37" s="4" t="s">
        <s:v>26</s:v>
      </s:c>
      <s:c r="AX37" s="4">
        <s:v>35</s:v>
      </s:c>
      <s:c r="AY37" s="9">
        <s:f>AY36+1/3</s:f>
        <s:v>12.333333333333337</s:v>
      </s:c>
    </s:row>
    <s:row r="38">
      <s:c r="A38" s="87" t="s">
        <s:v>107</s:v>
      </s:c>
      <s:c r="B38" s="32">
        <s:f>B30*1.1</s:f>
        <s:v>4092.0000000000005</s:v>
      </s:c>
      <s:c r="C38" s="91">
        <s:f>B38*8</s:f>
        <s:v>32736.000000000004</s:v>
      </s:c>
      <s:c r="D38" s="32">
        <s:f>D30*1.1</s:f>
        <s:v>5742.0000000000009</s:v>
      </s:c>
      <s:c r="E38" s="30">
        <s:f>D38*8</s:f>
        <s:v>45936.000000000007</s:v>
      </s:c>
      <s:c r="G38" s="87" t="s">
        <s:v>105</s:v>
      </s:c>
      <s:c r="H38" s="94">
        <s:f>VLOOKUP($G38,$A$35:$E$39,2,0)</s:f>
        <s:v>2376</s:v>
      </s:c>
      <s:c r="I38" s="94">
        <s:f>VLOOKUP($G38,$A$35:$E$39,3,0)</s:f>
        <s:v>19008</s:v>
      </s:c>
      <s:c r="J38" s="94">
        <s:f>VLOOKUP($G38,$A$35:$E$39,4,0)</s:f>
        <s:v>3179.0000000000005</s:v>
      </s:c>
      <s:c r="K38" s="95">
        <s:f>VLOOKUP($G38,$A$35:$E$39,5,0)</s:f>
        <s:v>25432.000000000004</s:v>
      </s:c>
      <s:c r="M38" s="4" t="s">
        <s:v>26</s:v>
      </s:c>
      <s:c r="N38" s="4">
        <s:v>36</s:v>
      </s:c>
      <s:c r="O38" s="4">
        <s:v>4</s:v>
      </s:c>
      <s:c r="R38" s="4" t="s">
        <s:v>26</s:v>
      </s:c>
      <s:c r="S38" s="4">
        <s:v>36</s:v>
      </s:c>
      <s:c r="T38" s="4">
        <s:v>4</s:v>
      </s:c>
      <s:c r="W38" s="4" t="s">
        <s:v>26</s:v>
      </s:c>
      <s:c r="X38" s="4">
        <s:v>36</s:v>
      </s:c>
      <s:c r="Y38" s="9">
        <s:f>Y37+1/3</s:f>
        <s:v>12.666666666666671</s:v>
      </s:c>
      <s:c r="AB38" s="4" t="s">
        <s:v>26</s:v>
      </s:c>
      <s:c r="AC38" s="4">
        <s:v>36</s:v>
      </s:c>
      <s:c r="AD38" s="9">
        <s:f>AD37+1/3</s:f>
        <s:v>12.666666666666671</s:v>
      </s:c>
      <s:c r="AG38" s="4" t="s">
        <s:v>26</s:v>
      </s:c>
      <s:c r="AH38" s="4">
        <s:v>36</s:v>
      </s:c>
      <s:c r="AI38" s="9">
        <s:f>AI37+1/3</s:f>
        <s:v>12.666666666666671</s:v>
      </s:c>
      <s:c r="AL38" s="4" t="s">
        <s:v>26</s:v>
      </s:c>
      <s:c r="AM38" s="4">
        <s:v>36</s:v>
      </s:c>
      <s:c r="AN38" s="9">
        <s:f>AN37+1/3</s:f>
        <s:v>12.666666666666671</s:v>
      </s:c>
      <s:c r="AQ38" s="4" t="s">
        <s:v>26</s:v>
      </s:c>
      <s:c r="AR38" s="4">
        <s:v>36</s:v>
      </s:c>
      <s:c r="AS38" s="9">
        <s:f>AS37+1/3</s:f>
        <s:v>12.666666666666671</s:v>
      </s:c>
      <s:c r="AW38" s="4" t="s">
        <s:v>26</s:v>
      </s:c>
      <s:c r="AX38" s="4">
        <s:v>36</s:v>
      </s:c>
      <s:c r="AY38" s="9">
        <s:f>AY37+1/3</s:f>
        <s:v>12.666666666666671</s:v>
      </s:c>
    </s:row>
    <s:row r="39" ht="15">
      <s:c r="A39" s="87" t="s">
        <s:v>109</s:v>
      </s:c>
      <s:c r="B39" s="33">
        <s:f>B31*1.1</s:f>
        <s:v>4763</s:v>
      </s:c>
      <s:c r="C39" s="92">
        <s:f>B39*8</s:f>
        <s:v>38104</s:v>
      </s:c>
      <s:c r="D39" s="33">
        <s:f>D31*1.1</s:f>
        <s:v>7348.0000000000009</s:v>
      </s:c>
      <s:c r="E39" s="88">
        <s:f>D39*8</s:f>
        <s:v>58784.000000000007</s:v>
      </s:c>
      <s:c r="G39" s="87" t="s">
        <s:v>108</s:v>
      </s:c>
      <s:c r="H39" s="96">
        <s:f>VLOOKUP($G39,$A$35:$E$39,2,0)</s:f>
        <s:v>1551.0000000000002</s:v>
      </s:c>
      <s:c r="I39" s="96">
        <s:f>VLOOKUP($G39,$A$35:$E$39,3,0)</s:f>
        <s:v>12408.000000000002</s:v>
      </s:c>
      <s:c r="J39" s="96">
        <s:f>VLOOKUP($G39,$A$35:$E$39,4,0)</s:f>
        <s:v>1991.0000000000002</s:v>
      </s:c>
      <s:c r="K39" s="97">
        <s:f>VLOOKUP($G39,$A$35:$E$39,5,0)</s:f>
        <s:v>15928.000000000002</s:v>
      </s:c>
      <s:c r="M39" s="4" t="s">
        <s:v>26</s:v>
      </s:c>
      <s:c r="N39" s="4">
        <s:v>37</s:v>
      </s:c>
      <s:c r="O39" s="4">
        <s:v>5</s:v>
      </s:c>
      <s:c r="R39" s="4" t="s">
        <s:v>26</s:v>
      </s:c>
      <s:c r="S39" s="4">
        <s:v>37</s:v>
      </s:c>
      <s:c r="T39" s="4">
        <s:v>5</s:v>
      </s:c>
      <s:c r="W39" s="4" t="s">
        <s:v>26</s:v>
      </s:c>
      <s:c r="X39" s="4">
        <s:v>37</s:v>
      </s:c>
      <s:c r="Y39" s="9">
        <s:f>Y38+1/3</s:f>
        <s:v>13.000000000000005</s:v>
      </s:c>
      <s:c r="AB39" s="4" t="s">
        <s:v>26</s:v>
      </s:c>
      <s:c r="AC39" s="4">
        <s:v>37</s:v>
      </s:c>
      <s:c r="AD39" s="9">
        <s:f>AD38+1/3</s:f>
        <s:v>13.000000000000005</s:v>
      </s:c>
      <s:c r="AG39" s="4" t="s">
        <s:v>26</s:v>
      </s:c>
      <s:c r="AH39" s="4">
        <s:v>37</s:v>
      </s:c>
      <s:c r="AI39" s="9">
        <s:f>AI38+1/3</s:f>
        <s:v>13.000000000000005</s:v>
      </s:c>
      <s:c r="AL39" s="4" t="s">
        <s:v>26</s:v>
      </s:c>
      <s:c r="AM39" s="4">
        <s:v>37</s:v>
      </s:c>
      <s:c r="AN39" s="9">
        <s:f>AN38+1/3</s:f>
        <s:v>13.000000000000005</s:v>
      </s:c>
      <s:c r="AQ39" s="4" t="s">
        <s:v>26</s:v>
      </s:c>
      <s:c r="AR39" s="4">
        <s:v>37</s:v>
      </s:c>
      <s:c r="AS39" s="9">
        <s:f>AS38+1/3</s:f>
        <s:v>13.000000000000005</s:v>
      </s:c>
      <s:c r="AW39" s="4" t="s">
        <s:v>26</s:v>
      </s:c>
      <s:c r="AX39" s="4">
        <s:v>37</s:v>
      </s:c>
      <s:c r="AY39" s="9">
        <s:f>AY38+1/3</s:f>
        <s:v>13.000000000000005</s:v>
      </s:c>
    </s:row>
    <s:row r="40">
      <s:c r="M40" s="4" t="s">
        <s:v>26</s:v>
      </s:c>
      <s:c r="N40" s="4">
        <s:v>38</s:v>
      </s:c>
      <s:c r="O40" s="4">
        <s:v>5</s:v>
      </s:c>
      <s:c r="R40" s="4" t="s">
        <s:v>26</s:v>
      </s:c>
      <s:c r="S40" s="4">
        <s:v>38</s:v>
      </s:c>
      <s:c r="T40" s="4">
        <s:v>5</s:v>
      </s:c>
      <s:c r="W40" s="4" t="s">
        <s:v>26</s:v>
      </s:c>
      <s:c r="X40" s="4">
        <s:v>38</s:v>
      </s:c>
      <s:c r="Y40" s="9">
        <s:f>Y39+1/3</s:f>
        <s:v>13.333333333333339</s:v>
      </s:c>
      <s:c r="AB40" s="4" t="s">
        <s:v>26</s:v>
      </s:c>
      <s:c r="AC40" s="4">
        <s:v>38</s:v>
      </s:c>
      <s:c r="AD40" s="9">
        <s:f>AD39+1/3</s:f>
        <s:v>13.333333333333339</s:v>
      </s:c>
      <s:c r="AG40" s="4" t="s">
        <s:v>26</s:v>
      </s:c>
      <s:c r="AH40" s="4">
        <s:v>38</s:v>
      </s:c>
      <s:c r="AI40" s="9">
        <s:f>AI39+1/3</s:f>
        <s:v>13.333333333333339</s:v>
      </s:c>
      <s:c r="AL40" s="4" t="s">
        <s:v>26</s:v>
      </s:c>
      <s:c r="AM40" s="4">
        <s:v>38</s:v>
      </s:c>
      <s:c r="AN40" s="9">
        <s:f>AN39+1/3</s:f>
        <s:v>13.333333333333339</s:v>
      </s:c>
      <s:c r="AQ40" s="4" t="s">
        <s:v>26</s:v>
      </s:c>
      <s:c r="AR40" s="4">
        <s:v>38</s:v>
      </s:c>
      <s:c r="AS40" s="9">
        <s:f>AS39+1/3</s:f>
        <s:v>13.333333333333339</s:v>
      </s:c>
      <s:c r="AW40" s="4" t="s">
        <s:v>26</s:v>
      </s:c>
      <s:c r="AX40" s="4">
        <s:v>38</s:v>
      </s:c>
      <s:c r="AY40" s="9">
        <s:f>AY39+1/3</s:f>
        <s:v>13.333333333333339</s:v>
      </s:c>
    </s:row>
    <s:row r="41" ht="15">
      <s:c r="M41" s="4" t="s">
        <s:v>26</s:v>
      </s:c>
      <s:c r="N41" s="4">
        <s:v>39</s:v>
      </s:c>
      <s:c r="O41" s="4">
        <s:v>5</s:v>
      </s:c>
      <s:c r="R41" s="4" t="s">
        <s:v>26</s:v>
      </s:c>
      <s:c r="S41" s="4">
        <s:v>39</s:v>
      </s:c>
      <s:c r="T41" s="4">
        <s:v>5</s:v>
      </s:c>
      <s:c r="W41" s="4" t="s">
        <s:v>26</s:v>
      </s:c>
      <s:c r="X41" s="4">
        <s:v>39</s:v>
      </s:c>
      <s:c r="Y41" s="9">
        <s:f>Y40+1/3</s:f>
        <s:v>13.666666666666673</s:v>
      </s:c>
      <s:c r="AB41" s="4" t="s">
        <s:v>26</s:v>
      </s:c>
      <s:c r="AC41" s="4">
        <s:v>39</s:v>
      </s:c>
      <s:c r="AD41" s="9">
        <s:f>AD40+1/3</s:f>
        <s:v>13.666666666666673</s:v>
      </s:c>
      <s:c r="AG41" s="4" t="s">
        <s:v>26</s:v>
      </s:c>
      <s:c r="AH41" s="4">
        <s:v>39</s:v>
      </s:c>
      <s:c r="AI41" s="9">
        <s:f>AI40+1/3</s:f>
        <s:v>13.666666666666673</s:v>
      </s:c>
      <s:c r="AL41" s="4" t="s">
        <s:v>26</s:v>
      </s:c>
      <s:c r="AM41" s="4">
        <s:v>39</s:v>
      </s:c>
      <s:c r="AN41" s="9">
        <s:f>AN40+1/3</s:f>
        <s:v>13.666666666666673</s:v>
      </s:c>
      <s:c r="AQ41" s="4" t="s">
        <s:v>26</s:v>
      </s:c>
      <s:c r="AR41" s="4">
        <s:v>39</s:v>
      </s:c>
      <s:c r="AS41" s="9">
        <s:f>AS40+1/3</s:f>
        <s:v>13.666666666666673</s:v>
      </s:c>
      <s:c r="AW41" s="4" t="s">
        <s:v>26</s:v>
      </s:c>
      <s:c r="AX41" s="4">
        <s:v>39</s:v>
      </s:c>
      <s:c r="AY41" s="9">
        <s:f>AY40+1/3</s:f>
        <s:v>13.666666666666673</s:v>
      </s:c>
    </s:row>
    <s:row r="42" ht="15">
      <s:c r="A42" s="86" t="s">
        <s:v>128</s:v>
      </s:c>
      <s:c r="B42" s="89"/>
      <s:c r="C42" s="90"/>
      <s:c r="D42" s="89" t="s">
        <s:v>130</s:v>
      </s:c>
      <s:c r="E42" s="93"/>
      <s:c r="G42" s="86" t="s">
        <s:v>128</s:v>
      </s:c>
      <s:c r="H42" s="89"/>
      <s:c r="I42" s="90"/>
      <s:c r="J42" s="89" t="s">
        <s:v>130</s:v>
      </s:c>
      <s:c r="K42" s="93"/>
      <s:c r="M42" s="4" t="s">
        <s:v>26</s:v>
      </s:c>
      <s:c r="N42" s="4">
        <s:v>40</s:v>
      </s:c>
      <s:c r="O42" s="4">
        <s:v>5</s:v>
      </s:c>
      <s:c r="R42" s="4" t="s">
        <s:v>26</s:v>
      </s:c>
      <s:c r="S42" s="4">
        <s:v>40</s:v>
      </s:c>
      <s:c r="T42" s="4">
        <s:v>5</s:v>
      </s:c>
      <s:c r="W42" s="4" t="s">
        <s:v>26</s:v>
      </s:c>
      <s:c r="X42" s="4">
        <s:v>40</s:v>
      </s:c>
      <s:c r="Y42" s="9">
        <s:f>Y41+1/3</s:f>
        <s:v>14.000000000000007</s:v>
      </s:c>
      <s:c r="AB42" s="4" t="s">
        <s:v>26</s:v>
      </s:c>
      <s:c r="AC42" s="4">
        <s:v>40</s:v>
      </s:c>
      <s:c r="AD42" s="9">
        <s:f>AD41+1/3</s:f>
        <s:v>14.000000000000007</s:v>
      </s:c>
      <s:c r="AG42" s="4" t="s">
        <s:v>26</s:v>
      </s:c>
      <s:c r="AH42" s="4">
        <s:v>40</s:v>
      </s:c>
      <s:c r="AI42" s="9">
        <s:f>AI41+1/3</s:f>
        <s:v>14.000000000000007</s:v>
      </s:c>
      <s:c r="AL42" s="4" t="s">
        <s:v>26</s:v>
      </s:c>
      <s:c r="AM42" s="4">
        <s:v>40</s:v>
      </s:c>
      <s:c r="AN42" s="9">
        <s:f>AN41+1/3</s:f>
        <s:v>14.000000000000007</s:v>
      </s:c>
      <s:c r="AQ42" s="4" t="s">
        <s:v>26</s:v>
      </s:c>
      <s:c r="AR42" s="4">
        <s:v>40</s:v>
      </s:c>
      <s:c r="AS42" s="9">
        <s:f>AS41+1/3</s:f>
        <s:v>14.000000000000007</s:v>
      </s:c>
      <s:c r="AW42" s="4" t="s">
        <s:v>26</s:v>
      </s:c>
      <s:c r="AX42" s="4">
        <s:v>40</s:v>
      </s:c>
      <s:c r="AY42" s="9">
        <s:f>AY41+1/3</s:f>
        <s:v>14.000000000000007</s:v>
      </s:c>
    </s:row>
    <s:row r="43">
      <s:c r="A43" s="87" t="s">
        <s:v>103</s:v>
      </s:c>
      <s:c r="B43" s="22" t="s">
        <s:v>101</s:v>
      </s:c>
      <s:c r="C43" s="23" t="s">
        <s:v>102</s:v>
      </s:c>
      <s:c r="D43" s="22" t="s">
        <s:v>101</s:v>
      </s:c>
      <s:c r="E43" s="23" t="s">
        <s:v>102</s:v>
      </s:c>
      <s:c r="G43" s="87" t="s">
        <s:v>103</s:v>
      </s:c>
      <s:c r="H43" s="22" t="s">
        <s:v>101</s:v>
      </s:c>
      <s:c r="I43" s="23" t="s">
        <s:v>102</s:v>
      </s:c>
      <s:c r="J43" s="22" t="s">
        <s:v>101</s:v>
      </s:c>
      <s:c r="K43" s="23" t="s">
        <s:v>102</s:v>
      </s:c>
      <s:c r="M43" s="4" t="s">
        <s:v>26</s:v>
      </s:c>
      <s:c r="N43" s="4">
        <s:v>41</s:v>
      </s:c>
      <s:c r="O43" s="4">
        <s:v>5</s:v>
      </s:c>
      <s:c r="R43" s="4" t="s">
        <s:v>26</s:v>
      </s:c>
      <s:c r="S43" s="4">
        <s:v>41</s:v>
      </s:c>
      <s:c r="T43" s="4">
        <s:v>5</s:v>
      </s:c>
      <s:c r="W43" s="4" t="s">
        <s:v>26</s:v>
      </s:c>
      <s:c r="X43" s="4">
        <s:v>41</s:v>
      </s:c>
      <s:c r="Y43" s="9">
        <s:f>Y42+1/3</s:f>
        <s:v>14.333333333333341</s:v>
      </s:c>
      <s:c r="AB43" s="4" t="s">
        <s:v>26</s:v>
      </s:c>
      <s:c r="AC43" s="4">
        <s:v>41</s:v>
      </s:c>
      <s:c r="AD43" s="9">
        <s:f>AD42+1/3</s:f>
        <s:v>14.333333333333341</s:v>
      </s:c>
      <s:c r="AG43" s="4" t="s">
        <s:v>26</s:v>
      </s:c>
      <s:c r="AH43" s="4">
        <s:v>41</s:v>
      </s:c>
      <s:c r="AI43" s="9">
        <s:f>AI42+1/3</s:f>
        <s:v>14.333333333333341</s:v>
      </s:c>
      <s:c r="AL43" s="4" t="s">
        <s:v>26</s:v>
      </s:c>
      <s:c r="AM43" s="4">
        <s:v>41</s:v>
      </s:c>
      <s:c r="AN43" s="9">
        <s:f>AN42+1/3</s:f>
        <s:v>14.333333333333341</s:v>
      </s:c>
      <s:c r="AQ43" s="4" t="s">
        <s:v>26</s:v>
      </s:c>
      <s:c r="AR43" s="4">
        <s:v>41</s:v>
      </s:c>
      <s:c r="AS43" s="9">
        <s:f>AS42+1/3</s:f>
        <s:v>14.333333333333341</s:v>
      </s:c>
      <s:c r="AW43" s="4" t="s">
        <s:v>26</s:v>
      </s:c>
      <s:c r="AX43" s="4">
        <s:v>41</s:v>
      </s:c>
      <s:c r="AY43" s="9">
        <s:f>AY42+1/3</s:f>
        <s:v>14.333333333333341</s:v>
      </s:c>
    </s:row>
    <s:row r="44">
      <s:c r="A44" s="87" t="s">
        <s:v>108</s:v>
      </s:c>
      <s:c r="B44" s="32">
        <s:f>B27*1.05</s:f>
        <s:v>1480.5</s:v>
      </s:c>
      <s:c r="C44" s="91">
        <s:f>B44*8</s:f>
        <s:v>11844</s:v>
      </s:c>
      <s:c r="D44" s="32">
        <s:f>D27*1.05</s:f>
        <s:v>1900.5</s:v>
      </s:c>
      <s:c r="E44" s="30">
        <s:f>D44*8</s:f>
        <s:v>15204</s:v>
      </s:c>
      <s:c r="G44" s="87" t="s">
        <s:v>109</s:v>
      </s:c>
      <s:c r="H44" s="94">
        <s:f>VLOOKUP($G44,$A$44:$E$48,2,0)</s:f>
        <s:v>4546.5</s:v>
      </s:c>
      <s:c r="I44" s="94">
        <s:f>VLOOKUP($G44,$A$44:$E$48,3,0)</s:f>
        <s:v>36372</s:v>
      </s:c>
      <s:c r="J44" s="94">
        <s:f>VLOOKUP($G44,$A$44:$E$48,4,0)</s:f>
        <s:v>7014</s:v>
      </s:c>
      <s:c r="K44" s="95">
        <s:f>VLOOKUP($G44,$A$44:$E$48,5,0)</s:f>
        <s:v>56112</s:v>
      </s:c>
      <s:c r="M44" s="4" t="s">
        <s:v>26</s:v>
      </s:c>
      <s:c r="N44" s="4">
        <s:v>42</s:v>
      </s:c>
      <s:c r="O44" s="4">
        <s:v>5</s:v>
      </s:c>
      <s:c r="R44" s="4" t="s">
        <s:v>26</s:v>
      </s:c>
      <s:c r="S44" s="4">
        <s:v>42</s:v>
      </s:c>
      <s:c r="T44" s="4">
        <s:v>5</s:v>
      </s:c>
      <s:c r="W44" s="4" t="s">
        <s:v>26</s:v>
      </s:c>
      <s:c r="X44" s="4">
        <s:v>42</s:v>
      </s:c>
      <s:c r="Y44" s="9">
        <s:f>Y43+1/3</s:f>
        <s:v>14.666666666666675</s:v>
      </s:c>
      <s:c r="AB44" s="4" t="s">
        <s:v>26</s:v>
      </s:c>
      <s:c r="AC44" s="4">
        <s:v>42</s:v>
      </s:c>
      <s:c r="AD44" s="9">
        <s:f>AD43+1/3</s:f>
        <s:v>14.666666666666675</s:v>
      </s:c>
      <s:c r="AG44" s="4" t="s">
        <s:v>26</s:v>
      </s:c>
      <s:c r="AH44" s="4">
        <s:v>42</s:v>
      </s:c>
      <s:c r="AI44" s="9">
        <s:f>AI43+1/3</s:f>
        <s:v>14.666666666666675</s:v>
      </s:c>
      <s:c r="AL44" s="4" t="s">
        <s:v>26</s:v>
      </s:c>
      <s:c r="AM44" s="4">
        <s:v>42</s:v>
      </s:c>
      <s:c r="AN44" s="9">
        <s:f>AN43+1/3</s:f>
        <s:v>14.666666666666675</s:v>
      </s:c>
      <s:c r="AQ44" s="4" t="s">
        <s:v>26</s:v>
      </s:c>
      <s:c r="AR44" s="4">
        <s:v>42</s:v>
      </s:c>
      <s:c r="AS44" s="9">
        <s:f>AS43+1/3</s:f>
        <s:v>14.666666666666675</s:v>
      </s:c>
      <s:c r="AW44" s="4" t="s">
        <s:v>26</s:v>
      </s:c>
      <s:c r="AX44" s="4">
        <s:v>42</s:v>
      </s:c>
      <s:c r="AY44" s="9">
        <s:f>AY43+1/3</s:f>
        <s:v>14.666666666666675</s:v>
      </s:c>
    </s:row>
    <s:row r="45">
      <s:c r="A45" s="87" t="s">
        <s:v>105</s:v>
      </s:c>
      <s:c r="B45" s="32">
        <s:f>B28*1.05</s:f>
        <s:v>2268</s:v>
      </s:c>
      <s:c r="C45" s="91">
        <s:f>B45*8</s:f>
        <s:v>18144</s:v>
      </s:c>
      <s:c r="D45" s="32">
        <s:f>D28*1.05</s:f>
        <s:v>3034.5</s:v>
      </s:c>
      <s:c r="E45" s="30">
        <s:f>D45*8</s:f>
        <s:v>24276</s:v>
      </s:c>
      <s:c r="G45" s="87" t="s">
        <s:v>107</s:v>
      </s:c>
      <s:c r="H45" s="94">
        <s:f>VLOOKUP($G45,$A$44:$E$48,2,0)</s:f>
        <s:v>3906</s:v>
      </s:c>
      <s:c r="I45" s="94">
        <s:f>VLOOKUP($G45,$A$44:$E$48,3,0)</s:f>
        <s:v>31248</s:v>
      </s:c>
      <s:c r="J45" s="94">
        <s:f>VLOOKUP($G45,$A$44:$E$48,4,0)</s:f>
        <s:v>5481</s:v>
      </s:c>
      <s:c r="K45" s="95">
        <s:f>VLOOKUP($G45,$A$44:$E$48,5,0)</s:f>
        <s:v>43848</s:v>
      </s:c>
      <s:c r="M45" s="4" t="s">
        <s:v>26</s:v>
      </s:c>
      <s:c r="N45" s="4">
        <s:v>43</s:v>
      </s:c>
      <s:c r="O45" s="4">
        <s:v>5</s:v>
      </s:c>
      <s:c r="R45" s="4" t="s">
        <s:v>26</s:v>
      </s:c>
      <s:c r="S45" s="4">
        <s:v>43</s:v>
      </s:c>
      <s:c r="T45" s="4">
        <s:v>5</s:v>
      </s:c>
      <s:c r="W45" s="4" t="s">
        <s:v>26</s:v>
      </s:c>
      <s:c r="X45" s="4">
        <s:v>43</s:v>
      </s:c>
      <s:c r="Y45" s="9">
        <s:f>Y44+1/3</s:f>
        <s:v>15.000000000000009</s:v>
      </s:c>
      <s:c r="AB45" s="4" t="s">
        <s:v>26</s:v>
      </s:c>
      <s:c r="AC45" s="4">
        <s:v>43</s:v>
      </s:c>
      <s:c r="AD45" s="9">
        <s:f>AD44+1/3</s:f>
        <s:v>15.000000000000009</s:v>
      </s:c>
      <s:c r="AG45" s="4" t="s">
        <s:v>26</s:v>
      </s:c>
      <s:c r="AH45" s="4">
        <s:v>43</s:v>
      </s:c>
      <s:c r="AI45" s="9">
        <s:f>AI44+1/3</s:f>
        <s:v>15.000000000000009</s:v>
      </s:c>
      <s:c r="AL45" s="4" t="s">
        <s:v>26</s:v>
      </s:c>
      <s:c r="AM45" s="4">
        <s:v>43</s:v>
      </s:c>
      <s:c r="AN45" s="9">
        <s:f>AN44+1/3</s:f>
        <s:v>15.000000000000009</s:v>
      </s:c>
      <s:c r="AQ45" s="4" t="s">
        <s:v>26</s:v>
      </s:c>
      <s:c r="AR45" s="4">
        <s:v>43</s:v>
      </s:c>
      <s:c r="AS45" s="9">
        <s:f>AS44+1/3</s:f>
        <s:v>15.000000000000009</s:v>
      </s:c>
      <s:c r="AW45" s="4" t="s">
        <s:v>26</s:v>
      </s:c>
      <s:c r="AX45" s="4">
        <s:v>43</s:v>
      </s:c>
      <s:c r="AY45" s="9">
        <s:f>AY44+1/3</s:f>
        <s:v>15.000000000000009</s:v>
      </s:c>
    </s:row>
    <s:row r="46">
      <s:c r="A46" s="87" t="s">
        <s:v>106</s:v>
      </s:c>
      <s:c r="B46" s="32">
        <s:f>B29*1.05</s:f>
        <s:v>2919</s:v>
      </s:c>
      <s:c r="C46" s="91">
        <s:f>B46*8</s:f>
        <s:v>23352</s:v>
      </s:c>
      <s:c r="D46" s="32">
        <s:f>D29*1.05</s:f>
        <s:v>4105.5</s:v>
      </s:c>
      <s:c r="E46" s="30">
        <s:f>D46*8</s:f>
        <s:v>32844</s:v>
      </s:c>
      <s:c r="G46" s="87" t="s">
        <s:v>106</s:v>
      </s:c>
      <s:c r="H46" s="94">
        <s:f>VLOOKUP($G46,$A$44:$E$48,2,0)</s:f>
        <s:v>2919</s:v>
      </s:c>
      <s:c r="I46" s="94">
        <s:f>VLOOKUP($G46,$A$44:$E$48,3,0)</s:f>
        <s:v>23352</s:v>
      </s:c>
      <s:c r="J46" s="94">
        <s:f>VLOOKUP($G46,$A$44:$E$48,4,0)</s:f>
        <s:v>4105.5</s:v>
      </s:c>
      <s:c r="K46" s="95">
        <s:f>VLOOKUP($G46,$A$44:$E$48,5,0)</s:f>
        <s:v>32844</s:v>
      </s:c>
      <s:c r="M46" s="4" t="s">
        <s:v>26</s:v>
      </s:c>
      <s:c r="N46" s="4">
        <s:v>44</s:v>
      </s:c>
      <s:c r="O46" s="4">
        <s:v>5</s:v>
      </s:c>
      <s:c r="R46" s="4" t="s">
        <s:v>26</s:v>
      </s:c>
      <s:c r="S46" s="4">
        <s:v>44</s:v>
      </s:c>
      <s:c r="T46" s="4">
        <s:v>5</s:v>
      </s:c>
      <s:c r="W46" s="4" t="s">
        <s:v>26</s:v>
      </s:c>
      <s:c r="X46" s="4">
        <s:v>44</s:v>
      </s:c>
      <s:c r="Y46" s="9">
        <s:f>Y45+1/3</s:f>
        <s:v>15.333333333333343</s:v>
      </s:c>
      <s:c r="AB46" s="4" t="s">
        <s:v>26</s:v>
      </s:c>
      <s:c r="AC46" s="4">
        <s:v>44</s:v>
      </s:c>
      <s:c r="AD46" s="9">
        <s:f>AD45+1/3</s:f>
        <s:v>15.333333333333343</s:v>
      </s:c>
      <s:c r="AG46" s="4" t="s">
        <s:v>26</s:v>
      </s:c>
      <s:c r="AH46" s="4">
        <s:v>44</s:v>
      </s:c>
      <s:c r="AI46" s="9">
        <s:f>AI45+1/3</s:f>
        <s:v>15.333333333333343</s:v>
      </s:c>
      <s:c r="AL46" s="4" t="s">
        <s:v>26</s:v>
      </s:c>
      <s:c r="AM46" s="4">
        <s:v>44</s:v>
      </s:c>
      <s:c r="AN46" s="9">
        <s:f>AN45+1/3</s:f>
        <s:v>15.333333333333343</s:v>
      </s:c>
      <s:c r="AQ46" s="4" t="s">
        <s:v>26</s:v>
      </s:c>
      <s:c r="AR46" s="4">
        <s:v>44</s:v>
      </s:c>
      <s:c r="AS46" s="9">
        <s:f>AS45+1/3</s:f>
        <s:v>15.333333333333343</s:v>
      </s:c>
      <s:c r="AW46" s="4" t="s">
        <s:v>26</s:v>
      </s:c>
      <s:c r="AX46" s="4">
        <s:v>44</s:v>
      </s:c>
      <s:c r="AY46" s="9">
        <s:f>AY45+1/3</s:f>
        <s:v>15.333333333333343</s:v>
      </s:c>
    </s:row>
    <s:row r="47">
      <s:c r="A47" s="87" t="s">
        <s:v>107</s:v>
      </s:c>
      <s:c r="B47" s="32">
        <s:f>B30*1.05</s:f>
        <s:v>3906</s:v>
      </s:c>
      <s:c r="C47" s="91">
        <s:f>B47*8</s:f>
        <s:v>31248</s:v>
      </s:c>
      <s:c r="D47" s="32">
        <s:f>D30*1.05</s:f>
        <s:v>5481</s:v>
      </s:c>
      <s:c r="E47" s="30">
        <s:f>D47*8</s:f>
        <s:v>43848</s:v>
      </s:c>
      <s:c r="G47" s="87" t="s">
        <s:v>105</s:v>
      </s:c>
      <s:c r="H47" s="94">
        <s:f>VLOOKUP($G47,$A$44:$E$48,2,0)</s:f>
        <s:v>2268</s:v>
      </s:c>
      <s:c r="I47" s="94">
        <s:f>VLOOKUP($G47,$A$44:$E$48,3,0)</s:f>
        <s:v>18144</s:v>
      </s:c>
      <s:c r="J47" s="94">
        <s:f>VLOOKUP($G47,$A$44:$E$48,4,0)</s:f>
        <s:v>3034.5</s:v>
      </s:c>
      <s:c r="K47" s="95">
        <s:f>VLOOKUP($G47,$A$44:$E$48,5,0)</s:f>
        <s:v>24276</s:v>
      </s:c>
      <s:c r="M47" s="4" t="s">
        <s:v>26</s:v>
      </s:c>
      <s:c r="N47" s="4">
        <s:v>45</s:v>
      </s:c>
      <s:c r="O47" s="4">
        <s:v>5</s:v>
      </s:c>
      <s:c r="R47" s="4" t="s">
        <s:v>26</s:v>
      </s:c>
      <s:c r="S47" s="4">
        <s:v>45</s:v>
      </s:c>
      <s:c r="T47" s="4">
        <s:v>5</s:v>
      </s:c>
      <s:c r="W47" s="4" t="s">
        <s:v>26</s:v>
      </s:c>
      <s:c r="X47" s="4">
        <s:v>45</s:v>
      </s:c>
      <s:c r="Y47" s="9">
        <s:f>Y46+1/3</s:f>
        <s:v>15.666666666666677</s:v>
      </s:c>
      <s:c r="AB47" s="4" t="s">
        <s:v>26</s:v>
      </s:c>
      <s:c r="AC47" s="4">
        <s:v>45</s:v>
      </s:c>
      <s:c r="AD47" s="9">
        <s:f>AD46+1/3</s:f>
        <s:v>15.666666666666677</s:v>
      </s:c>
      <s:c r="AG47" s="4" t="s">
        <s:v>26</s:v>
      </s:c>
      <s:c r="AH47" s="4">
        <s:v>45</s:v>
      </s:c>
      <s:c r="AI47" s="9">
        <s:f>AI46+1/3</s:f>
        <s:v>15.666666666666677</s:v>
      </s:c>
      <s:c r="AL47" s="4" t="s">
        <s:v>26</s:v>
      </s:c>
      <s:c r="AM47" s="4">
        <s:v>45</s:v>
      </s:c>
      <s:c r="AN47" s="9">
        <s:f>AN46+1/3</s:f>
        <s:v>15.666666666666677</s:v>
      </s:c>
      <s:c r="AQ47" s="4" t="s">
        <s:v>26</s:v>
      </s:c>
      <s:c r="AR47" s="4">
        <s:v>45</s:v>
      </s:c>
      <s:c r="AS47" s="9">
        <s:f>AS46+1/3</s:f>
        <s:v>15.666666666666677</s:v>
      </s:c>
      <s:c r="AW47" s="4" t="s">
        <s:v>26</s:v>
      </s:c>
      <s:c r="AX47" s="4">
        <s:v>45</s:v>
      </s:c>
      <s:c r="AY47" s="9">
        <s:f>AY46+1/3</s:f>
        <s:v>15.666666666666677</s:v>
      </s:c>
    </s:row>
    <s:row r="48" ht="15">
      <s:c r="A48" s="87" t="s">
        <s:v>109</s:v>
      </s:c>
      <s:c r="B48" s="32">
        <s:f>B31*1.05</s:f>
        <s:v>4546.5</s:v>
      </s:c>
      <s:c r="C48" s="92">
        <s:f>B48*8</s:f>
        <s:v>36372</s:v>
      </s:c>
      <s:c r="D48" s="32">
        <s:f>D31*1.05</s:f>
        <s:v>7014</s:v>
      </s:c>
      <s:c r="E48" s="88">
        <s:f>D48*8</s:f>
        <s:v>56112</s:v>
      </s:c>
      <s:c r="G48" s="87" t="s">
        <s:v>108</s:v>
      </s:c>
      <s:c r="H48" s="94">
        <s:f>VLOOKUP($G48,$A$44:$E$48,2,0)</s:f>
        <s:v>1480.5</s:v>
      </s:c>
      <s:c r="I48" s="94">
        <s:f>VLOOKUP($G48,$A$44:$E$48,3,0)</s:f>
        <s:v>11844</s:v>
      </s:c>
      <s:c r="J48" s="94">
        <s:f>VLOOKUP($G48,$A$44:$E$48,4,0)</s:f>
        <s:v>1900.5</s:v>
      </s:c>
      <s:c r="K48" s="95">
        <s:f>VLOOKUP($G48,$A$44:$E$48,5,0)</s:f>
        <s:v>15204</s:v>
      </s:c>
      <s:c r="M48" s="4" t="s">
        <s:v>26</s:v>
      </s:c>
      <s:c r="N48" s="4">
        <s:v>46</s:v>
      </s:c>
      <s:c r="O48" s="34">
        <s:v>6</s:v>
      </s:c>
      <s:c r="R48" s="4" t="s">
        <s:v>26</s:v>
      </s:c>
      <s:c r="S48" s="4">
        <s:v>46</s:v>
      </s:c>
      <s:c r="T48" s="34">
        <s:v>6</s:v>
      </s:c>
      <s:c r="W48" s="4" t="s">
        <s:v>26</s:v>
      </s:c>
      <s:c r="X48" s="4">
        <s:v>46</s:v>
      </s:c>
      <s:c r="Y48" s="9">
        <s:f>Y47+1/3</s:f>
        <s:v>16.000000000000011</s:v>
      </s:c>
      <s:c r="AB48" s="4" t="s">
        <s:v>26</s:v>
      </s:c>
      <s:c r="AC48" s="4">
        <s:v>46</s:v>
      </s:c>
      <s:c r="AD48" s="9">
        <s:f>AD47+1/3</s:f>
        <s:v>16.000000000000011</s:v>
      </s:c>
      <s:c r="AG48" s="4" t="s">
        <s:v>26</s:v>
      </s:c>
      <s:c r="AH48" s="4">
        <s:v>46</s:v>
      </s:c>
      <s:c r="AI48" s="9">
        <s:f>AI47+1/3</s:f>
        <s:v>16.000000000000011</s:v>
      </s:c>
      <s:c r="AL48" s="4" t="s">
        <s:v>26</s:v>
      </s:c>
      <s:c r="AM48" s="4">
        <s:v>46</s:v>
      </s:c>
      <s:c r="AN48" s="9">
        <s:f>AN47+1/3</s:f>
        <s:v>16.000000000000011</s:v>
      </s:c>
      <s:c r="AQ48" s="4" t="s">
        <s:v>26</s:v>
      </s:c>
      <s:c r="AR48" s="4">
        <s:v>46</s:v>
      </s:c>
      <s:c r="AS48" s="9">
        <s:f>AS47+1/3</s:f>
        <s:v>16.000000000000011</s:v>
      </s:c>
      <s:c r="AW48" s="4" t="s">
        <s:v>26</s:v>
      </s:c>
      <s:c r="AX48" s="4">
        <s:v>46</s:v>
      </s:c>
      <s:c r="AY48" s="9">
        <s:f>AY47+1/3</s:f>
        <s:v>16.000000000000011</s:v>
      </s:c>
    </s:row>
    <s:row r="49">
      <s:c r="M49" s="4" t="s">
        <s:v>26</s:v>
      </s:c>
      <s:c r="N49" s="4">
        <s:v>47</s:v>
      </s:c>
      <s:c r="O49" s="34">
        <s:v>6</s:v>
      </s:c>
      <s:c r="R49" s="4" t="s">
        <s:v>26</s:v>
      </s:c>
      <s:c r="S49" s="4">
        <s:v>47</s:v>
      </s:c>
      <s:c r="T49" s="34">
        <s:v>6</s:v>
      </s:c>
      <s:c r="W49" s="4" t="s">
        <s:v>26</s:v>
      </s:c>
      <s:c r="X49" s="4">
        <s:v>47</s:v>
      </s:c>
      <s:c r="Y49" s="9">
        <s:f>Y48+1/3</s:f>
        <s:v>16.333333333333343</s:v>
      </s:c>
      <s:c r="AB49" s="4" t="s">
        <s:v>26</s:v>
      </s:c>
      <s:c r="AC49" s="4">
        <s:v>47</s:v>
      </s:c>
      <s:c r="AD49" s="9">
        <s:f>AD48+1/3</s:f>
        <s:v>16.333333333333343</s:v>
      </s:c>
      <s:c r="AG49" s="4" t="s">
        <s:v>26</s:v>
      </s:c>
      <s:c r="AH49" s="4">
        <s:v>47</s:v>
      </s:c>
      <s:c r="AI49" s="9">
        <s:f>AI48+1/3</s:f>
        <s:v>16.333333333333343</s:v>
      </s:c>
      <s:c r="AL49" s="4" t="s">
        <s:v>26</s:v>
      </s:c>
      <s:c r="AM49" s="4">
        <s:v>47</s:v>
      </s:c>
      <s:c r="AN49" s="9">
        <s:f>AN48+1/3</s:f>
        <s:v>16.333333333333343</s:v>
      </s:c>
      <s:c r="AQ49" s="4" t="s">
        <s:v>26</s:v>
      </s:c>
      <s:c r="AR49" s="4">
        <s:v>47</s:v>
      </s:c>
      <s:c r="AS49" s="9">
        <s:f>AS48+1/3</s:f>
        <s:v>16.333333333333343</s:v>
      </s:c>
      <s:c r="AW49" s="4" t="s">
        <s:v>26</s:v>
      </s:c>
      <s:c r="AX49" s="4">
        <s:v>47</s:v>
      </s:c>
      <s:c r="AY49" s="9">
        <s:f>AY48+1/3</s:f>
        <s:v>16.333333333333343</s:v>
      </s:c>
    </s:row>
    <s:row r="50">
      <s:c r="M50" s="4" t="s">
        <s:v>26</s:v>
      </s:c>
      <s:c r="N50" s="4">
        <s:v>48</s:v>
      </s:c>
      <s:c r="O50" s="34">
        <s:v>6</s:v>
      </s:c>
      <s:c r="R50" s="4" t="s">
        <s:v>26</s:v>
      </s:c>
      <s:c r="S50" s="4">
        <s:v>48</s:v>
      </s:c>
      <s:c r="T50" s="34">
        <s:v>6</s:v>
      </s:c>
      <s:c r="W50" s="4" t="s">
        <s:v>26</s:v>
      </s:c>
      <s:c r="X50" s="4">
        <s:v>48</s:v>
      </s:c>
      <s:c r="Y50" s="9">
        <s:f>Y49+1/3</s:f>
        <s:v>16.666666666666675</s:v>
      </s:c>
      <s:c r="AB50" s="4" t="s">
        <s:v>26</s:v>
      </s:c>
      <s:c r="AC50" s="4">
        <s:v>48</s:v>
      </s:c>
      <s:c r="AD50" s="9">
        <s:f>AD49+1/3</s:f>
        <s:v>16.666666666666675</s:v>
      </s:c>
      <s:c r="AG50" s="4" t="s">
        <s:v>26</s:v>
      </s:c>
      <s:c r="AH50" s="4">
        <s:v>48</s:v>
      </s:c>
      <s:c r="AI50" s="9">
        <s:f>AI49+1/3</s:f>
        <s:v>16.666666666666675</s:v>
      </s:c>
      <s:c r="AL50" s="4" t="s">
        <s:v>26</s:v>
      </s:c>
      <s:c r="AM50" s="4">
        <s:v>48</s:v>
      </s:c>
      <s:c r="AN50" s="9">
        <s:f>AN49+1/3</s:f>
        <s:v>16.666666666666675</s:v>
      </s:c>
      <s:c r="AQ50" s="4" t="s">
        <s:v>26</s:v>
      </s:c>
      <s:c r="AR50" s="4">
        <s:v>48</s:v>
      </s:c>
      <s:c r="AS50" s="9">
        <s:f>AS49+1/3</s:f>
        <s:v>16.666666666666675</s:v>
      </s:c>
      <s:c r="AW50" s="4" t="s">
        <s:v>26</s:v>
      </s:c>
      <s:c r="AX50" s="4">
        <s:v>48</s:v>
      </s:c>
      <s:c r="AY50" s="9">
        <s:f>AY49+1/3</s:f>
        <s:v>16.666666666666675</s:v>
      </s:c>
    </s:row>
    <s:row r="51">
      <s:c r="M51" s="4" t="s">
        <s:v>26</s:v>
      </s:c>
      <s:c r="N51" s="4">
        <s:v>49</s:v>
      </s:c>
      <s:c r="O51" s="34">
        <s:v>6</s:v>
      </s:c>
      <s:c r="R51" s="4" t="s">
        <s:v>26</s:v>
      </s:c>
      <s:c r="S51" s="4">
        <s:v>49</s:v>
      </s:c>
      <s:c r="T51" s="34">
        <s:v>6</s:v>
      </s:c>
      <s:c r="W51" s="4" t="s">
        <s:v>26</s:v>
      </s:c>
      <s:c r="X51" s="4">
        <s:v>49</s:v>
      </s:c>
      <s:c r="Y51" s="9">
        <s:f>Y50+1/3</s:f>
        <s:v>17.000000000000007</s:v>
      </s:c>
      <s:c r="AB51" s="4" t="s">
        <s:v>26</s:v>
      </s:c>
      <s:c r="AC51" s="4">
        <s:v>49</s:v>
      </s:c>
      <s:c r="AD51" s="9">
        <s:f>AD50+1/3</s:f>
        <s:v>17.000000000000007</s:v>
      </s:c>
      <s:c r="AG51" s="4" t="s">
        <s:v>26</s:v>
      </s:c>
      <s:c r="AH51" s="4">
        <s:v>49</s:v>
      </s:c>
      <s:c r="AI51" s="9">
        <s:f>AI50+1/3</s:f>
        <s:v>17.000000000000007</s:v>
      </s:c>
      <s:c r="AL51" s="4" t="s">
        <s:v>26</s:v>
      </s:c>
      <s:c r="AM51" s="4">
        <s:v>49</s:v>
      </s:c>
      <s:c r="AN51" s="9">
        <s:f>AN50+1/3</s:f>
        <s:v>17.000000000000007</s:v>
      </s:c>
      <s:c r="AQ51" s="4" t="s">
        <s:v>26</s:v>
      </s:c>
      <s:c r="AR51" s="4">
        <s:v>49</s:v>
      </s:c>
      <s:c r="AS51" s="9">
        <s:f>AS50+1/3</s:f>
        <s:v>17.000000000000007</s:v>
      </s:c>
      <s:c r="AW51" s="4" t="s">
        <s:v>26</s:v>
      </s:c>
      <s:c r="AX51" s="4">
        <s:v>49</s:v>
      </s:c>
      <s:c r="AY51" s="9">
        <s:f>AY50+1/3</s:f>
        <s:v>17.000000000000007</s:v>
      </s:c>
    </s:row>
    <s:row r="52">
      <s:c r="M52" s="4" t="s">
        <s:v>26</s:v>
      </s:c>
      <s:c r="N52" s="4">
        <s:v>50</s:v>
      </s:c>
      <s:c r="O52" s="34">
        <s:v>6</s:v>
      </s:c>
      <s:c r="R52" s="4" t="s">
        <s:v>26</s:v>
      </s:c>
      <s:c r="S52" s="4">
        <s:v>50</s:v>
      </s:c>
      <s:c r="T52" s="34">
        <s:v>6</s:v>
      </s:c>
      <s:c r="W52" s="4" t="s">
        <s:v>26</s:v>
      </s:c>
      <s:c r="X52" s="4">
        <s:v>50</s:v>
      </s:c>
      <s:c r="Y52" s="9">
        <s:f>Y51+1/3</s:f>
        <s:v>17.333333333333339</s:v>
      </s:c>
      <s:c r="AB52" s="4" t="s">
        <s:v>26</s:v>
      </s:c>
      <s:c r="AC52" s="4">
        <s:v>50</s:v>
      </s:c>
      <s:c r="AD52" s="9">
        <s:f>AD51+1/3</s:f>
        <s:v>17.333333333333339</s:v>
      </s:c>
      <s:c r="AG52" s="4" t="s">
        <s:v>26</s:v>
      </s:c>
      <s:c r="AH52" s="4">
        <s:v>50</s:v>
      </s:c>
      <s:c r="AI52" s="9">
        <s:f>AI51+1/3</s:f>
        <s:v>17.333333333333339</s:v>
      </s:c>
      <s:c r="AL52" s="4" t="s">
        <s:v>26</s:v>
      </s:c>
      <s:c r="AM52" s="4">
        <s:v>50</s:v>
      </s:c>
      <s:c r="AN52" s="9">
        <s:f>AN51+1/3</s:f>
        <s:v>17.333333333333339</s:v>
      </s:c>
      <s:c r="AQ52" s="4" t="s">
        <s:v>26</s:v>
      </s:c>
      <s:c r="AR52" s="4">
        <s:v>50</s:v>
      </s:c>
      <s:c r="AS52" s="9">
        <s:f>AS51+1/3</s:f>
        <s:v>17.333333333333339</s:v>
      </s:c>
      <s:c r="AW52" s="4" t="s">
        <s:v>26</s:v>
      </s:c>
      <s:c r="AX52" s="4">
        <s:v>50</s:v>
      </s:c>
      <s:c r="AY52" s="9">
        <s:f>AY51+1/3</s:f>
        <s:v>17.333333333333339</s:v>
      </s:c>
    </s:row>
    <s:row r="53">
      <s:c r="M53" s="4" t="s">
        <s:v>26</s:v>
      </s:c>
      <s:c r="N53" s="4">
        <s:v>51</s:v>
      </s:c>
      <s:c r="O53" s="34">
        <s:v>6</s:v>
      </s:c>
      <s:c r="R53" s="4" t="s">
        <s:v>26</s:v>
      </s:c>
      <s:c r="S53" s="4">
        <s:v>51</s:v>
      </s:c>
      <s:c r="T53" s="34">
        <s:v>6</s:v>
      </s:c>
      <s:c r="W53" s="4" t="s">
        <s:v>26</s:v>
      </s:c>
      <s:c r="X53" s="4">
        <s:v>51</s:v>
      </s:c>
      <s:c r="Y53" s="9">
        <s:f>Y52+1/3</s:f>
        <s:v>17.666666666666671</s:v>
      </s:c>
      <s:c r="AB53" s="4" t="s">
        <s:v>26</s:v>
      </s:c>
      <s:c r="AC53" s="4">
        <s:v>51</s:v>
      </s:c>
      <s:c r="AD53" s="9">
        <s:f>AD52+1/3</s:f>
        <s:v>17.666666666666671</s:v>
      </s:c>
      <s:c r="AG53" s="4" t="s">
        <s:v>26</s:v>
      </s:c>
      <s:c r="AH53" s="4">
        <s:v>51</s:v>
      </s:c>
      <s:c r="AI53" s="9">
        <s:f>AI52+1/3</s:f>
        <s:v>17.666666666666671</s:v>
      </s:c>
      <s:c r="AL53" s="4" t="s">
        <s:v>26</s:v>
      </s:c>
      <s:c r="AM53" s="4">
        <s:v>51</s:v>
      </s:c>
      <s:c r="AN53" s="9">
        <s:f>AN52+1/3</s:f>
        <s:v>17.666666666666671</s:v>
      </s:c>
      <s:c r="AQ53" s="4" t="s">
        <s:v>26</s:v>
      </s:c>
      <s:c r="AR53" s="4">
        <s:v>51</s:v>
      </s:c>
      <s:c r="AS53" s="9">
        <s:f>AS52+1/3</s:f>
        <s:v>17.666666666666671</s:v>
      </s:c>
      <s:c r="AW53" s="4" t="s">
        <s:v>26</s:v>
      </s:c>
      <s:c r="AX53" s="4">
        <s:v>51</s:v>
      </s:c>
      <s:c r="AY53" s="9">
        <s:f>AY52+1/3</s:f>
        <s:v>17.666666666666671</s:v>
      </s:c>
    </s:row>
    <s:row r="54">
      <s:c r="M54" s="4" t="s">
        <s:v>26</s:v>
      </s:c>
      <s:c r="N54" s="4">
        <s:v>52</s:v>
      </s:c>
      <s:c r="O54" s="34">
        <s:v>6</s:v>
      </s:c>
      <s:c r="R54" s="4" t="s">
        <s:v>26</s:v>
      </s:c>
      <s:c r="S54" s="4">
        <s:v>52</s:v>
      </s:c>
      <s:c r="T54" s="34">
        <s:v>6</s:v>
      </s:c>
      <s:c r="W54" s="4" t="s">
        <s:v>26</s:v>
      </s:c>
      <s:c r="X54" s="4">
        <s:v>52</s:v>
      </s:c>
      <s:c r="Y54" s="9">
        <s:f>Y53+1/3</s:f>
        <s:v>18.000000000000004</s:v>
      </s:c>
      <s:c r="AB54" s="4" t="s">
        <s:v>26</s:v>
      </s:c>
      <s:c r="AC54" s="4">
        <s:v>52</s:v>
      </s:c>
      <s:c r="AD54" s="9">
        <s:f>AD53+1/3</s:f>
        <s:v>18.000000000000004</s:v>
      </s:c>
      <s:c r="AG54" s="4" t="s">
        <s:v>26</s:v>
      </s:c>
      <s:c r="AH54" s="4">
        <s:v>52</s:v>
      </s:c>
      <s:c r="AI54" s="9">
        <s:f>AI53+1/3</s:f>
        <s:v>18.000000000000004</s:v>
      </s:c>
      <s:c r="AL54" s="4" t="s">
        <s:v>26</s:v>
      </s:c>
      <s:c r="AM54" s="4">
        <s:v>52</s:v>
      </s:c>
      <s:c r="AN54" s="9">
        <s:f>AN53+1/3</s:f>
        <s:v>18.000000000000004</s:v>
      </s:c>
      <s:c r="AQ54" s="4" t="s">
        <s:v>26</s:v>
      </s:c>
      <s:c r="AR54" s="4">
        <s:v>52</s:v>
      </s:c>
      <s:c r="AS54" s="9">
        <s:f>AS53+1/3</s:f>
        <s:v>18.000000000000004</s:v>
      </s:c>
      <s:c r="AW54" s="4" t="s">
        <s:v>26</s:v>
      </s:c>
      <s:c r="AX54" s="4">
        <s:v>52</s:v>
      </s:c>
      <s:c r="AY54" s="9">
        <s:f>AY53+1/3</s:f>
        <s:v>18.000000000000004</s:v>
      </s:c>
    </s:row>
    <s:row r="55">
      <s:c r="M55" s="4" t="s">
        <s:v>26</s:v>
      </s:c>
      <s:c r="N55" s="4">
        <s:v>53</s:v>
      </s:c>
      <s:c r="O55" s="34">
        <s:v>6</s:v>
      </s:c>
      <s:c r="R55" s="4" t="s">
        <s:v>26</s:v>
      </s:c>
      <s:c r="S55" s="4">
        <s:v>53</s:v>
      </s:c>
      <s:c r="T55" s="34">
        <s:v>6</s:v>
      </s:c>
      <s:c r="W55" s="4" t="s">
        <s:v>26</s:v>
      </s:c>
      <s:c r="X55" s="4">
        <s:v>53</s:v>
      </s:c>
      <s:c r="Y55" s="9">
        <s:f>Y54+1/3</s:f>
        <s:v>18.333333333333336</s:v>
      </s:c>
      <s:c r="AB55" s="4" t="s">
        <s:v>26</s:v>
      </s:c>
      <s:c r="AC55" s="4">
        <s:v>53</s:v>
      </s:c>
      <s:c r="AD55" s="9">
        <s:f>AD54+1/3</s:f>
        <s:v>18.333333333333336</s:v>
      </s:c>
      <s:c r="AG55" s="4" t="s">
        <s:v>26</s:v>
      </s:c>
      <s:c r="AH55" s="4">
        <s:v>53</s:v>
      </s:c>
      <s:c r="AI55" s="9">
        <s:f>AI54+1/3</s:f>
        <s:v>18.333333333333336</s:v>
      </s:c>
      <s:c r="AL55" s="4" t="s">
        <s:v>26</s:v>
      </s:c>
      <s:c r="AM55" s="4">
        <s:v>53</s:v>
      </s:c>
      <s:c r="AN55" s="9">
        <s:f>AN54+1/3</s:f>
        <s:v>18.333333333333336</s:v>
      </s:c>
      <s:c r="AQ55" s="4" t="s">
        <s:v>26</s:v>
      </s:c>
      <s:c r="AR55" s="4">
        <s:v>53</s:v>
      </s:c>
      <s:c r="AS55" s="9">
        <s:f>AS54+1/3</s:f>
        <s:v>18.333333333333336</s:v>
      </s:c>
      <s:c r="AW55" s="4" t="s">
        <s:v>26</s:v>
      </s:c>
      <s:c r="AX55" s="4">
        <s:v>53</s:v>
      </s:c>
      <s:c r="AY55" s="9">
        <s:f>AY54+1/3</s:f>
        <s:v>18.333333333333336</s:v>
      </s:c>
    </s:row>
    <s:row r="56">
      <s:c r="M56" s="4" t="s">
        <s:v>26</s:v>
      </s:c>
      <s:c r="N56" s="4">
        <s:v>54</s:v>
      </s:c>
      <s:c r="O56" s="34">
        <s:v>6</s:v>
      </s:c>
      <s:c r="R56" s="4" t="s">
        <s:v>26</s:v>
      </s:c>
      <s:c r="S56" s="4">
        <s:v>54</s:v>
      </s:c>
      <s:c r="T56" s="34">
        <s:v>6</s:v>
      </s:c>
      <s:c r="W56" s="4" t="s">
        <s:v>26</s:v>
      </s:c>
      <s:c r="X56" s="4">
        <s:v>54</s:v>
      </s:c>
      <s:c r="Y56" s="9">
        <s:f>Y55+1/3</s:f>
        <s:v>18.666666666666668</s:v>
      </s:c>
      <s:c r="AB56" s="4" t="s">
        <s:v>26</s:v>
      </s:c>
      <s:c r="AC56" s="4">
        <s:v>54</s:v>
      </s:c>
      <s:c r="AD56" s="9">
        <s:f>AD55+1/3</s:f>
        <s:v>18.666666666666668</s:v>
      </s:c>
      <s:c r="AG56" s="4" t="s">
        <s:v>26</s:v>
      </s:c>
      <s:c r="AH56" s="4">
        <s:v>54</s:v>
      </s:c>
      <s:c r="AI56" s="9">
        <s:f>AI55+1/3</s:f>
        <s:v>18.666666666666668</s:v>
      </s:c>
      <s:c r="AL56" s="4" t="s">
        <s:v>26</s:v>
      </s:c>
      <s:c r="AM56" s="4">
        <s:v>54</s:v>
      </s:c>
      <s:c r="AN56" s="9">
        <s:f>AN55+1/3</s:f>
        <s:v>18.666666666666668</s:v>
      </s:c>
      <s:c r="AQ56" s="4" t="s">
        <s:v>26</s:v>
      </s:c>
      <s:c r="AR56" s="4">
        <s:v>54</s:v>
      </s:c>
      <s:c r="AS56" s="9">
        <s:f>AS55+1/3</s:f>
        <s:v>18.666666666666668</s:v>
      </s:c>
      <s:c r="AW56" s="4" t="s">
        <s:v>26</s:v>
      </s:c>
      <s:c r="AX56" s="4">
        <s:v>54</s:v>
      </s:c>
      <s:c r="AY56" s="9">
        <s:f>AY55+1/3</s:f>
        <s:v>18.666666666666668</s:v>
      </s:c>
    </s:row>
    <s:row r="57">
      <s:c r="M57" s="4" t="s">
        <s:v>26</s:v>
      </s:c>
      <s:c r="N57" s="4">
        <s:v>55</s:v>
      </s:c>
      <s:c r="O57" s="34">
        <s:v>7</s:v>
      </s:c>
      <s:c r="R57" s="4" t="s">
        <s:v>26</s:v>
      </s:c>
      <s:c r="S57" s="4">
        <s:v>55</s:v>
      </s:c>
      <s:c r="T57" s="34">
        <s:v>7</s:v>
      </s:c>
      <s:c r="W57" s="4" t="s">
        <s:v>26</s:v>
      </s:c>
      <s:c r="X57" s="4">
        <s:v>55</s:v>
      </s:c>
      <s:c r="Y57" s="9">
        <s:f>Y56+1/3</s:f>
        <s:v>19</s:v>
      </s:c>
      <s:c r="AB57" s="4" t="s">
        <s:v>26</s:v>
      </s:c>
      <s:c r="AC57" s="4">
        <s:v>55</s:v>
      </s:c>
      <s:c r="AD57" s="9">
        <s:f>AD56+1/3</s:f>
        <s:v>19</s:v>
      </s:c>
      <s:c r="AG57" s="4" t="s">
        <s:v>26</s:v>
      </s:c>
      <s:c r="AH57" s="4">
        <s:v>55</s:v>
      </s:c>
      <s:c r="AI57" s="9">
        <s:f>AI56+1/3</s:f>
        <s:v>19</s:v>
      </s:c>
      <s:c r="AL57" s="4" t="s">
        <s:v>26</s:v>
      </s:c>
      <s:c r="AM57" s="4">
        <s:v>55</s:v>
      </s:c>
      <s:c r="AN57" s="9">
        <s:f>AN56+1/3</s:f>
        <s:v>19</s:v>
      </s:c>
      <s:c r="AQ57" s="4" t="s">
        <s:v>26</s:v>
      </s:c>
      <s:c r="AR57" s="4">
        <s:v>55</s:v>
      </s:c>
      <s:c r="AS57" s="9">
        <s:f>AS56+1/3</s:f>
        <s:v>19</s:v>
      </s:c>
      <s:c r="AW57" s="4" t="s">
        <s:v>26</s:v>
      </s:c>
      <s:c r="AX57" s="4">
        <s:v>55</s:v>
      </s:c>
      <s:c r="AY57" s="9">
        <s:f>AY56+1/3</s:f>
        <s:v>19</s:v>
      </s:c>
    </s:row>
    <s:row r="58">
      <s:c r="M58" s="4" t="s">
        <s:v>26</s:v>
      </s:c>
      <s:c r="N58" s="4">
        <s:v>56</s:v>
      </s:c>
      <s:c r="O58" s="34">
        <s:v>7</s:v>
      </s:c>
      <s:c r="R58" s="4" t="s">
        <s:v>26</s:v>
      </s:c>
      <s:c r="S58" s="4">
        <s:v>56</s:v>
      </s:c>
      <s:c r="T58" s="34">
        <s:v>7</s:v>
      </s:c>
      <s:c r="W58" s="4" t="s">
        <s:v>26</s:v>
      </s:c>
      <s:c r="X58" s="4">
        <s:v>56</s:v>
      </s:c>
      <s:c r="Y58" s="9">
        <s:f>Y57+1/3</s:f>
        <s:v>19.333333333333332</s:v>
      </s:c>
      <s:c r="AB58" s="4" t="s">
        <s:v>26</s:v>
      </s:c>
      <s:c r="AC58" s="4">
        <s:v>56</s:v>
      </s:c>
      <s:c r="AD58" s="9">
        <s:f>AD57+1/3</s:f>
        <s:v>19.333333333333332</s:v>
      </s:c>
      <s:c r="AG58" s="4" t="s">
        <s:v>26</s:v>
      </s:c>
      <s:c r="AH58" s="4">
        <s:v>56</s:v>
      </s:c>
      <s:c r="AI58" s="9">
        <s:f>AI57+1/3</s:f>
        <s:v>19.333333333333332</s:v>
      </s:c>
      <s:c r="AL58" s="4" t="s">
        <s:v>26</s:v>
      </s:c>
      <s:c r="AM58" s="4">
        <s:v>56</s:v>
      </s:c>
      <s:c r="AN58" s="9">
        <s:f>AN57+1/3</s:f>
        <s:v>19.333333333333332</s:v>
      </s:c>
      <s:c r="AQ58" s="4" t="s">
        <s:v>26</s:v>
      </s:c>
      <s:c r="AR58" s="4">
        <s:v>56</s:v>
      </s:c>
      <s:c r="AS58" s="9">
        <s:f>AS57+1/3</s:f>
        <s:v>19.333333333333332</s:v>
      </s:c>
      <s:c r="AW58" s="4" t="s">
        <s:v>26</s:v>
      </s:c>
      <s:c r="AX58" s="4">
        <s:v>56</s:v>
      </s:c>
      <s:c r="AY58" s="9">
        <s:f>AY57+1/3</s:f>
        <s:v>19.333333333333332</s:v>
      </s:c>
    </s:row>
    <s:row r="59">
      <s:c r="M59" s="4" t="s">
        <s:v>26</s:v>
      </s:c>
      <s:c r="N59" s="4">
        <s:v>57</s:v>
      </s:c>
      <s:c r="O59" s="34">
        <s:v>7</s:v>
      </s:c>
      <s:c r="R59" s="4" t="s">
        <s:v>26</s:v>
      </s:c>
      <s:c r="S59" s="4">
        <s:v>57</s:v>
      </s:c>
      <s:c r="T59" s="34">
        <s:v>7</s:v>
      </s:c>
      <s:c r="W59" s="4" t="s">
        <s:v>26</s:v>
      </s:c>
      <s:c r="X59" s="4">
        <s:v>57</s:v>
      </s:c>
      <s:c r="Y59" s="9">
        <s:f>Y58+1/3</s:f>
        <s:v>19.666666666666664</s:v>
      </s:c>
      <s:c r="AB59" s="4" t="s">
        <s:v>26</s:v>
      </s:c>
      <s:c r="AC59" s="4">
        <s:v>57</s:v>
      </s:c>
      <s:c r="AD59" s="9">
        <s:f>AD58+1/3</s:f>
        <s:v>19.666666666666664</s:v>
      </s:c>
      <s:c r="AG59" s="4" t="s">
        <s:v>26</s:v>
      </s:c>
      <s:c r="AH59" s="4">
        <s:v>57</s:v>
      </s:c>
      <s:c r="AI59" s="9">
        <s:f>AI58+1/3</s:f>
        <s:v>19.666666666666664</s:v>
      </s:c>
      <s:c r="AL59" s="4" t="s">
        <s:v>26</s:v>
      </s:c>
      <s:c r="AM59" s="4">
        <s:v>57</s:v>
      </s:c>
      <s:c r="AN59" s="9">
        <s:f>AN58+1/3</s:f>
        <s:v>19.666666666666664</s:v>
      </s:c>
      <s:c r="AQ59" s="4" t="s">
        <s:v>26</s:v>
      </s:c>
      <s:c r="AR59" s="4">
        <s:v>57</s:v>
      </s:c>
      <s:c r="AS59" s="9">
        <s:f>AS58+1/3</s:f>
        <s:v>19.666666666666664</s:v>
      </s:c>
      <s:c r="AW59" s="4" t="s">
        <s:v>26</s:v>
      </s:c>
      <s:c r="AX59" s="4">
        <s:v>57</s:v>
      </s:c>
      <s:c r="AY59" s="9">
        <s:f>AY58+1/3</s:f>
        <s:v>19.666666666666664</s:v>
      </s:c>
    </s:row>
    <s:row r="60">
      <s:c r="M60" s="4" t="s">
        <s:v>26</s:v>
      </s:c>
      <s:c r="N60" s="4">
        <s:v>58</s:v>
      </s:c>
      <s:c r="O60" s="34">
        <s:v>7</s:v>
      </s:c>
      <s:c r="R60" s="4" t="s">
        <s:v>26</s:v>
      </s:c>
      <s:c r="S60" s="4">
        <s:v>58</s:v>
      </s:c>
      <s:c r="T60" s="34">
        <s:v>7</s:v>
      </s:c>
      <s:c r="W60" s="4" t="s">
        <s:v>26</s:v>
      </s:c>
      <s:c r="X60" s="4">
        <s:v>58</s:v>
      </s:c>
      <s:c r="Y60" s="9">
        <s:f>Y59+1/3</s:f>
        <s:v>19.999999999999996</s:v>
      </s:c>
      <s:c r="AB60" s="4" t="s">
        <s:v>26</s:v>
      </s:c>
      <s:c r="AC60" s="4">
        <s:v>58</s:v>
      </s:c>
      <s:c r="AD60" s="9">
        <s:f>AD59+1/3</s:f>
        <s:v>19.999999999999996</s:v>
      </s:c>
      <s:c r="AG60" s="4" t="s">
        <s:v>26</s:v>
      </s:c>
      <s:c r="AH60" s="4">
        <s:v>58</s:v>
      </s:c>
      <s:c r="AI60" s="9">
        <s:f>AI59+1/3</s:f>
        <s:v>19.999999999999996</s:v>
      </s:c>
      <s:c r="AL60" s="4" t="s">
        <s:v>26</s:v>
      </s:c>
      <s:c r="AM60" s="4">
        <s:v>58</s:v>
      </s:c>
      <s:c r="AN60" s="9">
        <s:f>AN59+1/3</s:f>
        <s:v>19.999999999999996</s:v>
      </s:c>
      <s:c r="AQ60" s="4" t="s">
        <s:v>26</s:v>
      </s:c>
      <s:c r="AR60" s="4">
        <s:v>58</s:v>
      </s:c>
      <s:c r="AS60" s="9">
        <s:f>AS59+1/3</s:f>
        <s:v>19.999999999999996</s:v>
      </s:c>
      <s:c r="AW60" s="4" t="s">
        <s:v>26</s:v>
      </s:c>
      <s:c r="AX60" s="4">
        <s:v>58</s:v>
      </s:c>
      <s:c r="AY60" s="9">
        <s:f>AY59+1/3</s:f>
        <s:v>19.999999999999996</s:v>
      </s:c>
    </s:row>
    <s:row r="61">
      <s:c r="M61" s="4" t="s">
        <s:v>26</s:v>
      </s:c>
      <s:c r="N61" s="4">
        <s:v>59</s:v>
      </s:c>
      <s:c r="O61" s="34">
        <s:v>7</s:v>
      </s:c>
      <s:c r="R61" s="4" t="s">
        <s:v>26</s:v>
      </s:c>
      <s:c r="S61" s="4">
        <s:v>59</s:v>
      </s:c>
      <s:c r="T61" s="34">
        <s:v>7</s:v>
      </s:c>
      <s:c r="W61" s="4" t="s">
        <s:v>26</s:v>
      </s:c>
      <s:c r="X61" s="4">
        <s:v>59</s:v>
      </s:c>
      <s:c r="Y61" s="9">
        <s:f>Y60+1/3</s:f>
        <s:v>20.333333333333329</s:v>
      </s:c>
      <s:c r="AB61" s="4" t="s">
        <s:v>26</s:v>
      </s:c>
      <s:c r="AC61" s="4">
        <s:v>59</s:v>
      </s:c>
      <s:c r="AD61" s="9">
        <s:f>AD60+1/3</s:f>
        <s:v>20.333333333333329</s:v>
      </s:c>
      <s:c r="AG61" s="4" t="s">
        <s:v>26</s:v>
      </s:c>
      <s:c r="AH61" s="4">
        <s:v>59</s:v>
      </s:c>
      <s:c r="AI61" s="9">
        <s:f>AI60+1/3</s:f>
        <s:v>20.333333333333329</s:v>
      </s:c>
      <s:c r="AL61" s="4" t="s">
        <s:v>26</s:v>
      </s:c>
      <s:c r="AM61" s="4">
        <s:v>59</s:v>
      </s:c>
      <s:c r="AN61" s="9">
        <s:f>AN60+1/3</s:f>
        <s:v>20.333333333333329</s:v>
      </s:c>
      <s:c r="AQ61" s="4" t="s">
        <s:v>26</s:v>
      </s:c>
      <s:c r="AR61" s="4">
        <s:v>59</s:v>
      </s:c>
      <s:c r="AS61" s="9">
        <s:f>AS60+1/3</s:f>
        <s:v>20.333333333333329</s:v>
      </s:c>
      <s:c r="AW61" s="4" t="s">
        <s:v>26</s:v>
      </s:c>
      <s:c r="AX61" s="4">
        <s:v>59</s:v>
      </s:c>
      <s:c r="AY61" s="9">
        <s:f>AY60+1/3</s:f>
        <s:v>20.333333333333329</s:v>
      </s:c>
    </s:row>
    <s:row r="62">
      <s:c r="M62" s="4" t="s">
        <s:v>26</s:v>
      </s:c>
      <s:c r="N62" s="4">
        <s:v>60</s:v>
      </s:c>
      <s:c r="O62" s="34">
        <s:v>7</s:v>
      </s:c>
      <s:c r="R62" s="4" t="s">
        <s:v>26</s:v>
      </s:c>
      <s:c r="S62" s="4">
        <s:v>60</s:v>
      </s:c>
      <s:c r="T62" s="34">
        <s:v>7</s:v>
      </s:c>
      <s:c r="W62" s="4" t="s">
        <s:v>26</s:v>
      </s:c>
      <s:c r="X62" s="4">
        <s:v>60</s:v>
      </s:c>
      <s:c r="Y62" s="9">
        <s:f>Y61+1/3</s:f>
        <s:v>20.666666666666661</s:v>
      </s:c>
      <s:c r="AB62" s="4" t="s">
        <s:v>26</s:v>
      </s:c>
      <s:c r="AC62" s="4">
        <s:v>60</s:v>
      </s:c>
      <s:c r="AD62" s="9">
        <s:f>AD61+1/3</s:f>
        <s:v>20.666666666666661</s:v>
      </s:c>
      <s:c r="AG62" s="4" t="s">
        <s:v>26</s:v>
      </s:c>
      <s:c r="AH62" s="4">
        <s:v>60</s:v>
      </s:c>
      <s:c r="AI62" s="9">
        <s:f>AI61+1/3</s:f>
        <s:v>20.666666666666661</s:v>
      </s:c>
      <s:c r="AL62" s="4" t="s">
        <s:v>26</s:v>
      </s:c>
      <s:c r="AM62" s="4">
        <s:v>60</s:v>
      </s:c>
      <s:c r="AN62" s="9">
        <s:f>AN61+1/3</s:f>
        <s:v>20.666666666666661</s:v>
      </s:c>
      <s:c r="AQ62" s="4" t="s">
        <s:v>26</s:v>
      </s:c>
      <s:c r="AR62" s="4">
        <s:v>60</s:v>
      </s:c>
      <s:c r="AS62" s="9">
        <s:f>AS61+1/3</s:f>
        <s:v>20.666666666666661</s:v>
      </s:c>
      <s:c r="AW62" s="4" t="s">
        <s:v>26</s:v>
      </s:c>
      <s:c r="AX62" s="4">
        <s:v>60</s:v>
      </s:c>
      <s:c r="AY62" s="9">
        <s:f>AY61+1/3</s:f>
        <s:v>20.666666666666661</s:v>
      </s:c>
    </s:row>
    <s:row r="63">
      <s:c r="M63" s="4" t="s">
        <s:v>26</s:v>
      </s:c>
      <s:c r="N63" s="4">
        <s:v>61</s:v>
      </s:c>
      <s:c r="O63" s="34">
        <s:v>7</s:v>
      </s:c>
      <s:c r="R63" s="4" t="s">
        <s:v>26</s:v>
      </s:c>
      <s:c r="S63" s="4">
        <s:v>61</s:v>
      </s:c>
      <s:c r="T63" s="34">
        <s:v>7</s:v>
      </s:c>
      <s:c r="W63" s="4" t="s">
        <s:v>26</s:v>
      </s:c>
      <s:c r="X63" s="4">
        <s:v>61</s:v>
      </s:c>
      <s:c r="Y63" s="9">
        <s:f>Y62+1/3</s:f>
        <s:v>20.999999999999993</s:v>
      </s:c>
      <s:c r="AB63" s="4" t="s">
        <s:v>26</s:v>
      </s:c>
      <s:c r="AC63" s="4">
        <s:v>61</s:v>
      </s:c>
      <s:c r="AD63" s="9">
        <s:f>AD62+1/3</s:f>
        <s:v>20.999999999999993</s:v>
      </s:c>
      <s:c r="AG63" s="4" t="s">
        <s:v>26</s:v>
      </s:c>
      <s:c r="AH63" s="4">
        <s:v>61</s:v>
      </s:c>
      <s:c r="AI63" s="9">
        <s:f>AI62+1/3</s:f>
        <s:v>20.999999999999993</s:v>
      </s:c>
      <s:c r="AL63" s="4" t="s">
        <s:v>26</s:v>
      </s:c>
      <s:c r="AM63" s="4">
        <s:v>61</s:v>
      </s:c>
      <s:c r="AN63" s="9">
        <s:f>AN62+1/3</s:f>
        <s:v>20.999999999999993</s:v>
      </s:c>
      <s:c r="AQ63" s="4" t="s">
        <s:v>26</s:v>
      </s:c>
      <s:c r="AR63" s="4">
        <s:v>61</s:v>
      </s:c>
      <s:c r="AS63" s="9">
        <s:f>AS62+1/3</s:f>
        <s:v>20.999999999999993</s:v>
      </s:c>
      <s:c r="AW63" s="4" t="s">
        <s:v>26</s:v>
      </s:c>
      <s:c r="AX63" s="4">
        <s:v>61</s:v>
      </s:c>
      <s:c r="AY63" s="9">
        <s:f>AY62+1/3</s:f>
        <s:v>20.999999999999993</s:v>
      </s:c>
    </s:row>
    <s:row r="64">
      <s:c r="M64" s="4" t="s">
        <s:v>26</s:v>
      </s:c>
      <s:c r="N64" s="4">
        <s:v>62</s:v>
      </s:c>
      <s:c r="O64" s="34">
        <s:v>7</s:v>
      </s:c>
      <s:c r="R64" s="4" t="s">
        <s:v>26</s:v>
      </s:c>
      <s:c r="S64" s="4">
        <s:v>62</s:v>
      </s:c>
      <s:c r="T64" s="34">
        <s:v>7</s:v>
      </s:c>
      <s:c r="W64" s="4" t="s">
        <s:v>26</s:v>
      </s:c>
      <s:c r="X64" s="4">
        <s:v>62</s:v>
      </s:c>
      <s:c r="Y64" s="9">
        <s:f>Y63+1/3</s:f>
        <s:v>21.333333333333325</s:v>
      </s:c>
      <s:c r="AB64" s="4" t="s">
        <s:v>26</s:v>
      </s:c>
      <s:c r="AC64" s="4">
        <s:v>62</s:v>
      </s:c>
      <s:c r="AD64" s="9">
        <s:f>AD63+1/3</s:f>
        <s:v>21.333333333333325</s:v>
      </s:c>
      <s:c r="AG64" s="4" t="s">
        <s:v>26</s:v>
      </s:c>
      <s:c r="AH64" s="4">
        <s:v>62</s:v>
      </s:c>
      <s:c r="AI64" s="9">
        <s:f>AI63+1/3</s:f>
        <s:v>21.333333333333325</s:v>
      </s:c>
      <s:c r="AL64" s="4" t="s">
        <s:v>26</s:v>
      </s:c>
      <s:c r="AM64" s="4">
        <s:v>62</s:v>
      </s:c>
      <s:c r="AN64" s="9">
        <s:f>AN63+1/3</s:f>
        <s:v>21.333333333333325</s:v>
      </s:c>
      <s:c r="AQ64" s="4" t="s">
        <s:v>26</s:v>
      </s:c>
      <s:c r="AR64" s="4">
        <s:v>62</s:v>
      </s:c>
      <s:c r="AS64" s="9">
        <s:f>AS63+1/3</s:f>
        <s:v>21.333333333333325</s:v>
      </s:c>
      <s:c r="AW64" s="4" t="s">
        <s:v>26</s:v>
      </s:c>
      <s:c r="AX64" s="4">
        <s:v>62</s:v>
      </s:c>
      <s:c r="AY64" s="9">
        <s:f>AY63+1/3</s:f>
        <s:v>21.333333333333325</s:v>
      </s:c>
    </s:row>
    <s:row r="65">
      <s:c r="M65" s="4" t="s">
        <s:v>26</s:v>
      </s:c>
      <s:c r="N65" s="4">
        <s:v>63</s:v>
      </s:c>
      <s:c r="O65" s="34">
        <s:v>7</s:v>
      </s:c>
      <s:c r="R65" s="4" t="s">
        <s:v>26</s:v>
      </s:c>
      <s:c r="S65" s="4">
        <s:v>63</s:v>
      </s:c>
      <s:c r="T65" s="34">
        <s:v>7</s:v>
      </s:c>
      <s:c r="W65" s="4" t="s">
        <s:v>26</s:v>
      </s:c>
      <s:c r="X65" s="4">
        <s:v>63</s:v>
      </s:c>
      <s:c r="Y65" s="9">
        <s:f>Y64+1/3</s:f>
        <s:v>21.666666666666657</s:v>
      </s:c>
      <s:c r="AB65" s="4" t="s">
        <s:v>26</s:v>
      </s:c>
      <s:c r="AC65" s="4">
        <s:v>63</s:v>
      </s:c>
      <s:c r="AD65" s="9">
        <s:f>AD64+1/3</s:f>
        <s:v>21.666666666666657</s:v>
      </s:c>
      <s:c r="AG65" s="4" t="s">
        <s:v>26</s:v>
      </s:c>
      <s:c r="AH65" s="4">
        <s:v>63</s:v>
      </s:c>
      <s:c r="AI65" s="9">
        <s:f>AI64+1/3</s:f>
        <s:v>21.666666666666657</s:v>
      </s:c>
      <s:c r="AL65" s="4" t="s">
        <s:v>26</s:v>
      </s:c>
      <s:c r="AM65" s="4">
        <s:v>63</s:v>
      </s:c>
      <s:c r="AN65" s="9">
        <s:f>AN64+1/3</s:f>
        <s:v>21.666666666666657</s:v>
      </s:c>
      <s:c r="AQ65" s="4" t="s">
        <s:v>26</s:v>
      </s:c>
      <s:c r="AR65" s="4">
        <s:v>63</s:v>
      </s:c>
      <s:c r="AS65" s="9">
        <s:f>AS64+1/3</s:f>
        <s:v>21.666666666666657</s:v>
      </s:c>
      <s:c r="AW65" s="4" t="s">
        <s:v>26</s:v>
      </s:c>
      <s:c r="AX65" s="4">
        <s:v>63</s:v>
      </s:c>
      <s:c r="AY65" s="9">
        <s:f>AY64+1/3</s:f>
        <s:v>21.666666666666657</s:v>
      </s:c>
    </s:row>
    <s:row r="66">
      <s:c r="M66" s="4" t="s">
        <s:v>26</s:v>
      </s:c>
      <s:c r="N66" s="4">
        <s:v>64</s:v>
      </s:c>
      <s:c r="O66" s="34">
        <s:v>8</s:v>
      </s:c>
      <s:c r="R66" s="4" t="s">
        <s:v>26</s:v>
      </s:c>
      <s:c r="S66" s="4">
        <s:v>64</s:v>
      </s:c>
      <s:c r="T66" s="34">
        <s:v>8</s:v>
      </s:c>
      <s:c r="W66" s="4" t="s">
        <s:v>26</s:v>
      </s:c>
      <s:c r="X66" s="4">
        <s:v>64</s:v>
      </s:c>
      <s:c r="Y66" s="9">
        <s:f>Y65+1/3</s:f>
        <s:v>21.999999999999989</s:v>
      </s:c>
      <s:c r="AB66" s="4" t="s">
        <s:v>26</s:v>
      </s:c>
      <s:c r="AC66" s="4">
        <s:v>64</s:v>
      </s:c>
      <s:c r="AD66" s="9">
        <s:f>AD65+1/3</s:f>
        <s:v>21.999999999999989</s:v>
      </s:c>
      <s:c r="AG66" s="4" t="s">
        <s:v>26</s:v>
      </s:c>
      <s:c r="AH66" s="4">
        <s:v>64</s:v>
      </s:c>
      <s:c r="AI66" s="9">
        <s:f>AI65+1/3</s:f>
        <s:v>21.999999999999989</s:v>
      </s:c>
      <s:c r="AL66" s="4" t="s">
        <s:v>26</s:v>
      </s:c>
      <s:c r="AM66" s="4">
        <s:v>64</s:v>
      </s:c>
      <s:c r="AN66" s="9">
        <s:f>AN65+1/3</s:f>
        <s:v>21.999999999999989</s:v>
      </s:c>
      <s:c r="AQ66" s="4" t="s">
        <s:v>26</s:v>
      </s:c>
      <s:c r="AR66" s="4">
        <s:v>64</s:v>
      </s:c>
      <s:c r="AS66" s="9">
        <s:f>AS65+1/3</s:f>
        <s:v>21.999999999999989</s:v>
      </s:c>
      <s:c r="AW66" s="4" t="s">
        <s:v>26</s:v>
      </s:c>
      <s:c r="AX66" s="4">
        <s:v>64</s:v>
      </s:c>
      <s:c r="AY66" s="9">
        <s:f>AY65+1/3</s:f>
        <s:v>21.999999999999989</s:v>
      </s:c>
    </s:row>
    <s:row r="67">
      <s:c r="M67" s="4" t="s">
        <s:v>26</s:v>
      </s:c>
      <s:c r="N67" s="4">
        <s:v>65</s:v>
      </s:c>
      <s:c r="O67" s="34">
        <s:v>8</s:v>
      </s:c>
      <s:c r="R67" s="4" t="s">
        <s:v>26</s:v>
      </s:c>
      <s:c r="S67" s="4">
        <s:v>65</s:v>
      </s:c>
      <s:c r="T67" s="34">
        <s:v>8</s:v>
      </s:c>
      <s:c r="W67" s="4" t="s">
        <s:v>26</s:v>
      </s:c>
      <s:c r="X67" s="4">
        <s:v>65</s:v>
      </s:c>
      <s:c r="Y67" s="9">
        <s:f>Y66+1/3</s:f>
        <s:v>22.333333333333321</s:v>
      </s:c>
      <s:c r="AB67" s="4" t="s">
        <s:v>26</s:v>
      </s:c>
      <s:c r="AC67" s="4">
        <s:v>65</s:v>
      </s:c>
      <s:c r="AD67" s="9">
        <s:f>AD66+1/3</s:f>
        <s:v>22.333333333333321</s:v>
      </s:c>
      <s:c r="AG67" s="4" t="s">
        <s:v>26</s:v>
      </s:c>
      <s:c r="AH67" s="4">
        <s:v>65</s:v>
      </s:c>
      <s:c r="AI67" s="9">
        <s:f>AI66+1/3</s:f>
        <s:v>22.333333333333321</s:v>
      </s:c>
      <s:c r="AL67" s="4" t="s">
        <s:v>26</s:v>
      </s:c>
      <s:c r="AM67" s="4">
        <s:v>65</s:v>
      </s:c>
      <s:c r="AN67" s="9">
        <s:f>AN66+1/3</s:f>
        <s:v>22.333333333333321</s:v>
      </s:c>
      <s:c r="AQ67" s="4" t="s">
        <s:v>26</s:v>
      </s:c>
      <s:c r="AR67" s="4">
        <s:v>65</s:v>
      </s:c>
      <s:c r="AS67" s="9">
        <s:f>AS66+1/3</s:f>
        <s:v>22.333333333333321</s:v>
      </s:c>
      <s:c r="AW67" s="4" t="s">
        <s:v>26</s:v>
      </s:c>
      <s:c r="AX67" s="4">
        <s:v>65</s:v>
      </s:c>
      <s:c r="AY67" s="9">
        <s:f>AY66+1/3</s:f>
        <s:v>22.333333333333321</s:v>
      </s:c>
    </s:row>
    <s:row r="68">
      <s:c r="M68" s="4" t="s">
        <s:v>26</s:v>
      </s:c>
      <s:c r="N68" s="4">
        <s:v>66</s:v>
      </s:c>
      <s:c r="O68" s="34">
        <s:v>8</s:v>
      </s:c>
      <s:c r="R68" s="4" t="s">
        <s:v>26</s:v>
      </s:c>
      <s:c r="S68" s="4">
        <s:v>66</s:v>
      </s:c>
      <s:c r="T68" s="34">
        <s:v>8</s:v>
      </s:c>
      <s:c r="W68" s="4" t="s">
        <s:v>26</s:v>
      </s:c>
      <s:c r="X68" s="4">
        <s:v>66</s:v>
      </s:c>
      <s:c r="Y68" s="9">
        <s:f>Y67+1/3</s:f>
        <s:v>22.666666666666654</s:v>
      </s:c>
      <s:c r="AB68" s="4" t="s">
        <s:v>26</s:v>
      </s:c>
      <s:c r="AC68" s="4">
        <s:v>66</s:v>
      </s:c>
      <s:c r="AD68" s="9">
        <s:f>AD67+1/3</s:f>
        <s:v>22.666666666666654</s:v>
      </s:c>
      <s:c r="AG68" s="4" t="s">
        <s:v>26</s:v>
      </s:c>
      <s:c r="AH68" s="4">
        <s:v>66</s:v>
      </s:c>
      <s:c r="AI68" s="9">
        <s:f>AI67+1/3</s:f>
        <s:v>22.666666666666654</s:v>
      </s:c>
      <s:c r="AL68" s="4" t="s">
        <s:v>26</s:v>
      </s:c>
      <s:c r="AM68" s="4">
        <s:v>66</s:v>
      </s:c>
      <s:c r="AN68" s="9">
        <s:f>AN67+1/3</s:f>
        <s:v>22.666666666666654</s:v>
      </s:c>
      <s:c r="AQ68" s="4" t="s">
        <s:v>26</s:v>
      </s:c>
      <s:c r="AR68" s="4">
        <s:v>66</s:v>
      </s:c>
      <s:c r="AS68" s="9">
        <s:f>AS67+1/3</s:f>
        <s:v>22.666666666666654</s:v>
      </s:c>
      <s:c r="AW68" s="4" t="s">
        <s:v>26</s:v>
      </s:c>
      <s:c r="AX68" s="4">
        <s:v>66</s:v>
      </s:c>
      <s:c r="AY68" s="9">
        <s:f>AY67+1/3</s:f>
        <s:v>22.666666666666654</s:v>
      </s:c>
    </s:row>
    <s:row r="69">
      <s:c r="M69" s="4" t="s">
        <s:v>26</s:v>
      </s:c>
      <s:c r="N69" s="4">
        <s:v>67</s:v>
      </s:c>
      <s:c r="O69" s="34">
        <s:v>8</s:v>
      </s:c>
      <s:c r="R69" s="4" t="s">
        <s:v>26</s:v>
      </s:c>
      <s:c r="S69" s="4">
        <s:v>67</s:v>
      </s:c>
      <s:c r="T69" s="34">
        <s:v>8</s:v>
      </s:c>
      <s:c r="W69" s="4" t="s">
        <s:v>26</s:v>
      </s:c>
      <s:c r="X69" s="4">
        <s:v>67</s:v>
      </s:c>
      <s:c r="Y69" s="9">
        <s:f>Y68+1/3</s:f>
        <s:v>22.999999999999986</s:v>
      </s:c>
      <s:c r="AB69" s="4" t="s">
        <s:v>26</s:v>
      </s:c>
      <s:c r="AC69" s="4">
        <s:v>67</s:v>
      </s:c>
      <s:c r="AD69" s="9">
        <s:f>AD68+1/3</s:f>
        <s:v>22.999999999999986</s:v>
      </s:c>
      <s:c r="AG69" s="4" t="s">
        <s:v>26</s:v>
      </s:c>
      <s:c r="AH69" s="4">
        <s:v>67</s:v>
      </s:c>
      <s:c r="AI69" s="9">
        <s:f>AI68+1/3</s:f>
        <s:v>22.999999999999986</s:v>
      </s:c>
      <s:c r="AL69" s="4" t="s">
        <s:v>26</s:v>
      </s:c>
      <s:c r="AM69" s="4">
        <s:v>67</s:v>
      </s:c>
      <s:c r="AN69" s="9">
        <s:f>AN68+1/3</s:f>
        <s:v>22.999999999999986</s:v>
      </s:c>
      <s:c r="AQ69" s="4" t="s">
        <s:v>26</s:v>
      </s:c>
      <s:c r="AR69" s="4">
        <s:v>67</s:v>
      </s:c>
      <s:c r="AS69" s="9">
        <s:f>AS68+1/3</s:f>
        <s:v>22.999999999999986</s:v>
      </s:c>
      <s:c r="AW69" s="4" t="s">
        <s:v>26</s:v>
      </s:c>
      <s:c r="AX69" s="4">
        <s:v>67</s:v>
      </s:c>
      <s:c r="AY69" s="9">
        <s:f>AY68+1/3</s:f>
        <s:v>22.999999999999986</s:v>
      </s:c>
    </s:row>
    <s:row r="70">
      <s:c r="M70" s="4" t="s">
        <s:v>26</s:v>
      </s:c>
      <s:c r="N70" s="4">
        <s:v>68</s:v>
      </s:c>
      <s:c r="O70" s="34">
        <s:v>8</s:v>
      </s:c>
      <s:c r="R70" s="4" t="s">
        <s:v>26</s:v>
      </s:c>
      <s:c r="S70" s="4">
        <s:v>68</s:v>
      </s:c>
      <s:c r="T70" s="34">
        <s:v>8</s:v>
      </s:c>
      <s:c r="W70" s="4" t="s">
        <s:v>26</s:v>
      </s:c>
      <s:c r="X70" s="4">
        <s:v>68</s:v>
      </s:c>
      <s:c r="Y70" s="9">
        <s:f>Y69+1/3</s:f>
        <s:v>23.333333333333318</s:v>
      </s:c>
      <s:c r="AB70" s="4" t="s">
        <s:v>26</s:v>
      </s:c>
      <s:c r="AC70" s="4">
        <s:v>68</s:v>
      </s:c>
      <s:c r="AD70" s="9">
        <s:f>AD69+1/3</s:f>
        <s:v>23.333333333333318</s:v>
      </s:c>
      <s:c r="AG70" s="4" t="s">
        <s:v>26</s:v>
      </s:c>
      <s:c r="AH70" s="4">
        <s:v>68</s:v>
      </s:c>
      <s:c r="AI70" s="9">
        <s:f>AI69+1/3</s:f>
        <s:v>23.333333333333318</s:v>
      </s:c>
      <s:c r="AL70" s="4" t="s">
        <s:v>26</s:v>
      </s:c>
      <s:c r="AM70" s="4">
        <s:v>68</s:v>
      </s:c>
      <s:c r="AN70" s="9">
        <s:f>AN69+1/3</s:f>
        <s:v>23.333333333333318</s:v>
      </s:c>
      <s:c r="AQ70" s="4" t="s">
        <s:v>26</s:v>
      </s:c>
      <s:c r="AR70" s="4">
        <s:v>68</s:v>
      </s:c>
      <s:c r="AS70" s="9">
        <s:f>AS69+1/3</s:f>
        <s:v>23.333333333333318</s:v>
      </s:c>
      <s:c r="AW70" s="4" t="s">
        <s:v>26</s:v>
      </s:c>
      <s:c r="AX70" s="4">
        <s:v>68</s:v>
      </s:c>
      <s:c r="AY70" s="9">
        <s:f>AY69+1/3</s:f>
        <s:v>23.333333333333318</s:v>
      </s:c>
    </s:row>
    <s:row r="71">
      <s:c r="M71" s="4" t="s">
        <s:v>26</s:v>
      </s:c>
      <s:c r="N71" s="4">
        <s:v>69</s:v>
      </s:c>
      <s:c r="O71" s="34">
        <s:v>8</s:v>
      </s:c>
      <s:c r="R71" s="4" t="s">
        <s:v>26</s:v>
      </s:c>
      <s:c r="S71" s="4">
        <s:v>69</s:v>
      </s:c>
      <s:c r="T71" s="34">
        <s:v>8</s:v>
      </s:c>
      <s:c r="W71" s="4" t="s">
        <s:v>26</s:v>
      </s:c>
      <s:c r="X71" s="4">
        <s:v>69</s:v>
      </s:c>
      <s:c r="Y71" s="9">
        <s:f>Y70+1/3</s:f>
        <s:v>23.66666666666665</s:v>
      </s:c>
      <s:c r="AB71" s="4" t="s">
        <s:v>26</s:v>
      </s:c>
      <s:c r="AC71" s="4">
        <s:v>69</s:v>
      </s:c>
      <s:c r="AD71" s="9">
        <s:f>AD70+1/3</s:f>
        <s:v>23.66666666666665</s:v>
      </s:c>
      <s:c r="AG71" s="4" t="s">
        <s:v>26</s:v>
      </s:c>
      <s:c r="AH71" s="4">
        <s:v>69</s:v>
      </s:c>
      <s:c r="AI71" s="9">
        <s:f>AI70+1/3</s:f>
        <s:v>23.66666666666665</s:v>
      </s:c>
      <s:c r="AL71" s="4" t="s">
        <s:v>26</s:v>
      </s:c>
      <s:c r="AM71" s="4">
        <s:v>69</s:v>
      </s:c>
      <s:c r="AN71" s="9">
        <s:f>AN70+1/3</s:f>
        <s:v>23.66666666666665</s:v>
      </s:c>
      <s:c r="AQ71" s="4" t="s">
        <s:v>26</s:v>
      </s:c>
      <s:c r="AR71" s="4">
        <s:v>69</s:v>
      </s:c>
      <s:c r="AS71" s="9">
        <s:f>AS70+1/3</s:f>
        <s:v>23.66666666666665</s:v>
      </s:c>
      <s:c r="AW71" s="4" t="s">
        <s:v>26</s:v>
      </s:c>
      <s:c r="AX71" s="4">
        <s:v>69</s:v>
      </s:c>
      <s:c r="AY71" s="9">
        <s:f>AY70+1/3</s:f>
        <s:v>23.66666666666665</s:v>
      </s:c>
    </s:row>
    <s:row r="72">
      <s:c r="M72" s="4" t="s">
        <s:v>26</s:v>
      </s:c>
      <s:c r="N72" s="4">
        <s:v>70</s:v>
      </s:c>
      <s:c r="O72" s="34">
        <s:v>8</s:v>
      </s:c>
      <s:c r="R72" s="4" t="s">
        <s:v>26</s:v>
      </s:c>
      <s:c r="S72" s="4">
        <s:v>70</s:v>
      </s:c>
      <s:c r="T72" s="34">
        <s:v>8</s:v>
      </s:c>
      <s:c r="W72" s="4" t="s">
        <s:v>26</s:v>
      </s:c>
      <s:c r="X72" s="4">
        <s:v>70</s:v>
      </s:c>
      <s:c r="Y72" s="9">
        <s:f>Y71+1/3</s:f>
        <s:v>23.999999999999982</s:v>
      </s:c>
      <s:c r="AB72" s="4" t="s">
        <s:v>26</s:v>
      </s:c>
      <s:c r="AC72" s="4">
        <s:v>70</s:v>
      </s:c>
      <s:c r="AD72" s="9">
        <s:f>AD71+1/3</s:f>
        <s:v>23.999999999999982</s:v>
      </s:c>
      <s:c r="AG72" s="4" t="s">
        <s:v>26</s:v>
      </s:c>
      <s:c r="AH72" s="4">
        <s:v>70</s:v>
      </s:c>
      <s:c r="AI72" s="9">
        <s:f>AI71+1/3</s:f>
        <s:v>23.999999999999982</s:v>
      </s:c>
      <s:c r="AL72" s="4" t="s">
        <s:v>26</s:v>
      </s:c>
      <s:c r="AM72" s="4">
        <s:v>70</s:v>
      </s:c>
      <s:c r="AN72" s="9">
        <s:f>AN71+1/3</s:f>
        <s:v>23.999999999999982</s:v>
      </s:c>
      <s:c r="AQ72" s="4" t="s">
        <s:v>26</s:v>
      </s:c>
      <s:c r="AR72" s="4">
        <s:v>70</s:v>
      </s:c>
      <s:c r="AS72" s="9">
        <s:f>AS71+1/3</s:f>
        <s:v>23.999999999999982</s:v>
      </s:c>
      <s:c r="AW72" s="4" t="s">
        <s:v>26</s:v>
      </s:c>
      <s:c r="AX72" s="4">
        <s:v>70</s:v>
      </s:c>
      <s:c r="AY72" s="9">
        <s:f>AY71+1/3</s:f>
        <s:v>23.999999999999982</s:v>
      </s:c>
    </s:row>
    <s:row r="73">
      <s:c r="M73" s="4" t="s">
        <s:v>26</s:v>
      </s:c>
      <s:c r="N73" s="4">
        <s:v>71</s:v>
      </s:c>
      <s:c r="O73" s="34">
        <s:v>8</s:v>
      </s:c>
      <s:c r="R73" s="4" t="s">
        <s:v>26</s:v>
      </s:c>
      <s:c r="S73" s="4">
        <s:v>71</s:v>
      </s:c>
      <s:c r="T73" s="34">
        <s:v>8</s:v>
      </s:c>
      <s:c r="W73" s="4" t="s">
        <s:v>26</s:v>
      </s:c>
      <s:c r="X73" s="4">
        <s:v>71</s:v>
      </s:c>
      <s:c r="Y73" s="9">
        <s:f>Y72+1/3</s:f>
        <s:v>24.333333333333314</s:v>
      </s:c>
      <s:c r="AB73" s="4" t="s">
        <s:v>26</s:v>
      </s:c>
      <s:c r="AC73" s="4">
        <s:v>71</s:v>
      </s:c>
      <s:c r="AD73" s="9">
        <s:f>AD72+1/3</s:f>
        <s:v>24.333333333333314</s:v>
      </s:c>
      <s:c r="AG73" s="4" t="s">
        <s:v>26</s:v>
      </s:c>
      <s:c r="AH73" s="4">
        <s:v>71</s:v>
      </s:c>
      <s:c r="AI73" s="9">
        <s:f>AI72+1/3</s:f>
        <s:v>24.333333333333314</s:v>
      </s:c>
      <s:c r="AL73" s="4" t="s">
        <s:v>26</s:v>
      </s:c>
      <s:c r="AM73" s="4">
        <s:v>71</s:v>
      </s:c>
      <s:c r="AN73" s="9">
        <s:f>AN72+1/3</s:f>
        <s:v>24.333333333333314</s:v>
      </s:c>
      <s:c r="AQ73" s="4" t="s">
        <s:v>26</s:v>
      </s:c>
      <s:c r="AR73" s="4">
        <s:v>71</s:v>
      </s:c>
      <s:c r="AS73" s="9">
        <s:f>AS72+1/3</s:f>
        <s:v>24.333333333333314</s:v>
      </s:c>
      <s:c r="AW73" s="4" t="s">
        <s:v>26</s:v>
      </s:c>
      <s:c r="AX73" s="4">
        <s:v>71</s:v>
      </s:c>
      <s:c r="AY73" s="9">
        <s:f>AY72+1/3</s:f>
        <s:v>24.333333333333314</s:v>
      </s:c>
    </s:row>
    <s:row r="74">
      <s:c r="M74" s="4" t="s">
        <s:v>26</s:v>
      </s:c>
      <s:c r="N74" s="4">
        <s:v>72</s:v>
      </s:c>
      <s:c r="O74" s="34">
        <s:v>8</s:v>
      </s:c>
      <s:c r="R74" s="4" t="s">
        <s:v>26</s:v>
      </s:c>
      <s:c r="S74" s="4">
        <s:v>72</s:v>
      </s:c>
      <s:c r="T74" s="34">
        <s:v>8</s:v>
      </s:c>
      <s:c r="W74" s="4" t="s">
        <s:v>26</s:v>
      </s:c>
      <s:c r="X74" s="4">
        <s:v>72</s:v>
      </s:c>
      <s:c r="Y74" s="9">
        <s:f>Y73+1/3</s:f>
        <s:v>24.666666666666647</s:v>
      </s:c>
      <s:c r="AB74" s="4" t="s">
        <s:v>26</s:v>
      </s:c>
      <s:c r="AC74" s="4">
        <s:v>72</s:v>
      </s:c>
      <s:c r="AD74" s="9">
        <s:f>AD73+1/3</s:f>
        <s:v>24.666666666666647</s:v>
      </s:c>
      <s:c r="AG74" s="4" t="s">
        <s:v>26</s:v>
      </s:c>
      <s:c r="AH74" s="4">
        <s:v>72</s:v>
      </s:c>
      <s:c r="AI74" s="9">
        <s:f>AI73+1/3</s:f>
        <s:v>24.666666666666647</s:v>
      </s:c>
      <s:c r="AL74" s="4" t="s">
        <s:v>26</s:v>
      </s:c>
      <s:c r="AM74" s="4">
        <s:v>72</s:v>
      </s:c>
      <s:c r="AN74" s="9">
        <s:f>AN73+1/3</s:f>
        <s:v>24.666666666666647</s:v>
      </s:c>
      <s:c r="AQ74" s="4" t="s">
        <s:v>26</s:v>
      </s:c>
      <s:c r="AR74" s="4">
        <s:v>72</s:v>
      </s:c>
      <s:c r="AS74" s="9">
        <s:f>AS73+1/3</s:f>
        <s:v>24.666666666666647</s:v>
      </s:c>
      <s:c r="AW74" s="4" t="s">
        <s:v>26</s:v>
      </s:c>
      <s:c r="AX74" s="4">
        <s:v>72</s:v>
      </s:c>
      <s:c r="AY74" s="9">
        <s:f>AY73+1/3</s:f>
        <s:v>24.666666666666647</s:v>
      </s:c>
    </s:row>
    <s:row r="75">
      <s:c r="M75" s="4" t="s">
        <s:v>26</s:v>
      </s:c>
      <s:c r="N75" s="4">
        <s:v>73</s:v>
      </s:c>
      <s:c r="O75" s="34">
        <s:v>9</s:v>
      </s:c>
      <s:c r="P75" s="39"/>
      <s:c r="R75" s="4" t="s">
        <s:v>26</s:v>
      </s:c>
      <s:c r="S75" s="4">
        <s:v>73</s:v>
      </s:c>
      <s:c r="T75" s="34">
        <s:v>9</s:v>
      </s:c>
      <s:c r="W75" s="4" t="s">
        <s:v>26</s:v>
      </s:c>
      <s:c r="X75" s="4">
        <s:v>73</s:v>
      </s:c>
      <s:c r="Y75" s="9">
        <s:f>Y74+1/3</s:f>
        <s:v>24.999999999999979</s:v>
      </s:c>
      <s:c r="AB75" s="4" t="s">
        <s:v>26</s:v>
      </s:c>
      <s:c r="AC75" s="4">
        <s:v>73</s:v>
      </s:c>
      <s:c r="AD75" s="9">
        <s:f>AD74+1/3</s:f>
        <s:v>24.999999999999979</s:v>
      </s:c>
      <s:c r="AG75" s="4" t="s">
        <s:v>26</s:v>
      </s:c>
      <s:c r="AH75" s="4">
        <s:v>73</s:v>
      </s:c>
      <s:c r="AI75" s="9">
        <s:f>AI74+1/3</s:f>
        <s:v>24.999999999999979</s:v>
      </s:c>
      <s:c r="AL75" s="4" t="s">
        <s:v>26</s:v>
      </s:c>
      <s:c r="AM75" s="4">
        <s:v>73</s:v>
      </s:c>
      <s:c r="AN75" s="9">
        <s:f>AN74+1/3</s:f>
        <s:v>24.999999999999979</s:v>
      </s:c>
      <s:c r="AQ75" s="4" t="s">
        <s:v>26</s:v>
      </s:c>
      <s:c r="AR75" s="4">
        <s:v>73</s:v>
      </s:c>
      <s:c r="AS75" s="9">
        <s:f>AS74+1/3</s:f>
        <s:v>24.999999999999979</s:v>
      </s:c>
      <s:c r="AW75" s="4" t="s">
        <s:v>26</s:v>
      </s:c>
      <s:c r="AX75" s="4">
        <s:v>73</s:v>
      </s:c>
      <s:c r="AY75" s="9">
        <s:f>AY74+1/3</s:f>
        <s:v>24.999999999999979</s:v>
      </s:c>
    </s:row>
    <s:row r="76">
      <s:c r="M76" s="4" t="s">
        <s:v>26</s:v>
      </s:c>
      <s:c r="N76" s="4">
        <s:v>74</s:v>
      </s:c>
      <s:c r="O76" s="34">
        <s:v>9</s:v>
      </s:c>
      <s:c r="P76" s="39"/>
      <s:c r="R76" s="4" t="s">
        <s:v>26</s:v>
      </s:c>
      <s:c r="S76" s="4">
        <s:v>74</s:v>
      </s:c>
      <s:c r="T76" s="34">
        <s:v>9</s:v>
      </s:c>
      <s:c r="W76" s="4" t="s">
        <s:v>26</s:v>
      </s:c>
      <s:c r="X76" s="4">
        <s:v>74</s:v>
      </s:c>
      <s:c r="Y76" s="9">
        <s:f>Y75+1/3</s:f>
        <s:v>25.333333333333311</s:v>
      </s:c>
      <s:c r="AB76" s="4" t="s">
        <s:v>26</s:v>
      </s:c>
      <s:c r="AC76" s="4">
        <s:v>74</s:v>
      </s:c>
      <s:c r="AD76" s="9">
        <s:f>AD75+1/3</s:f>
        <s:v>25.333333333333311</s:v>
      </s:c>
      <s:c r="AG76" s="4" t="s">
        <s:v>26</s:v>
      </s:c>
      <s:c r="AH76" s="4">
        <s:v>74</s:v>
      </s:c>
      <s:c r="AI76" s="9">
        <s:f>AI75+1/3</s:f>
        <s:v>25.333333333333311</s:v>
      </s:c>
      <s:c r="AL76" s="4" t="s">
        <s:v>26</s:v>
      </s:c>
      <s:c r="AM76" s="4">
        <s:v>74</s:v>
      </s:c>
      <s:c r="AN76" s="9">
        <s:f>AN75+1/3</s:f>
        <s:v>25.333333333333311</s:v>
      </s:c>
      <s:c r="AQ76" s="4" t="s">
        <s:v>26</s:v>
      </s:c>
      <s:c r="AR76" s="4">
        <s:v>74</s:v>
      </s:c>
      <s:c r="AS76" s="9">
        <s:f>AS75+1/3</s:f>
        <s:v>25.333333333333311</s:v>
      </s:c>
      <s:c r="AW76" s="4" t="s">
        <s:v>26</s:v>
      </s:c>
      <s:c r="AX76" s="4">
        <s:v>74</s:v>
      </s:c>
      <s:c r="AY76" s="9">
        <s:f>AY75+1/3</s:f>
        <s:v>25.333333333333311</s:v>
      </s:c>
    </s:row>
    <s:row r="77">
      <s:c r="M77" s="4" t="s">
        <s:v>26</s:v>
      </s:c>
      <s:c r="N77" s="4">
        <s:v>75</s:v>
      </s:c>
      <s:c r="O77" s="34">
        <s:v>9</s:v>
      </s:c>
      <s:c r="P77" s="39"/>
      <s:c r="R77" s="4" t="s">
        <s:v>26</s:v>
      </s:c>
      <s:c r="S77" s="4">
        <s:v>75</s:v>
      </s:c>
      <s:c r="T77" s="34">
        <s:v>9</s:v>
      </s:c>
      <s:c r="W77" s="4" t="s">
        <s:v>26</s:v>
      </s:c>
      <s:c r="X77" s="4">
        <s:v>75</s:v>
      </s:c>
      <s:c r="Y77" s="9">
        <s:f>Y76+1/3</s:f>
        <s:v>25.666666666666643</s:v>
      </s:c>
      <s:c r="AB77" s="4" t="s">
        <s:v>26</s:v>
      </s:c>
      <s:c r="AC77" s="4">
        <s:v>75</s:v>
      </s:c>
      <s:c r="AD77" s="9">
        <s:f>AD76+1/3</s:f>
        <s:v>25.666666666666643</s:v>
      </s:c>
      <s:c r="AG77" s="4" t="s">
        <s:v>26</s:v>
      </s:c>
      <s:c r="AH77" s="4">
        <s:v>75</s:v>
      </s:c>
      <s:c r="AI77" s="9">
        <s:f>AI76+1/3</s:f>
        <s:v>25.666666666666643</s:v>
      </s:c>
      <s:c r="AL77" s="4" t="s">
        <s:v>26</s:v>
      </s:c>
      <s:c r="AM77" s="4">
        <s:v>75</s:v>
      </s:c>
      <s:c r="AN77" s="9">
        <s:f>AN76+1/3</s:f>
        <s:v>25.666666666666643</s:v>
      </s:c>
      <s:c r="AQ77" s="4" t="s">
        <s:v>26</s:v>
      </s:c>
      <s:c r="AR77" s="4">
        <s:v>75</s:v>
      </s:c>
      <s:c r="AS77" s="9">
        <s:f>AS76+1/3</s:f>
        <s:v>25.666666666666643</s:v>
      </s:c>
      <s:c r="AW77" s="4" t="s">
        <s:v>26</s:v>
      </s:c>
      <s:c r="AX77" s="4">
        <s:v>75</s:v>
      </s:c>
      <s:c r="AY77" s="9">
        <s:f>AY76+1/3</s:f>
        <s:v>25.666666666666643</s:v>
      </s:c>
    </s:row>
    <s:row r="78">
      <s:c r="M78" s="4" t="s">
        <s:v>26</s:v>
      </s:c>
      <s:c r="N78" s="4">
        <s:v>76</s:v>
      </s:c>
      <s:c r="O78" s="34">
        <s:v>9</s:v>
      </s:c>
      <s:c r="P78" s="39"/>
      <s:c r="R78" s="4" t="s">
        <s:v>26</s:v>
      </s:c>
      <s:c r="S78" s="4">
        <s:v>76</s:v>
      </s:c>
      <s:c r="T78" s="34">
        <s:v>9</s:v>
      </s:c>
      <s:c r="W78" s="4" t="s">
        <s:v>26</s:v>
      </s:c>
      <s:c r="X78" s="4">
        <s:v>76</s:v>
      </s:c>
      <s:c r="Y78" s="9">
        <s:f>Y77+1/3</s:f>
        <s:v>25.999999999999975</s:v>
      </s:c>
      <s:c r="AB78" s="4" t="s">
        <s:v>26</s:v>
      </s:c>
      <s:c r="AC78" s="4">
        <s:v>76</s:v>
      </s:c>
      <s:c r="AD78" s="9">
        <s:f>AD77+1/3</s:f>
        <s:v>25.999999999999975</s:v>
      </s:c>
      <s:c r="AG78" s="4" t="s">
        <s:v>26</s:v>
      </s:c>
      <s:c r="AH78" s="4">
        <s:v>76</s:v>
      </s:c>
      <s:c r="AI78" s="9">
        <s:f>AI77+1/3</s:f>
        <s:v>25.999999999999975</s:v>
      </s:c>
      <s:c r="AL78" s="4" t="s">
        <s:v>26</s:v>
      </s:c>
      <s:c r="AM78" s="4">
        <s:v>76</s:v>
      </s:c>
      <s:c r="AN78" s="9">
        <s:f>AN77+1/3</s:f>
        <s:v>25.999999999999975</s:v>
      </s:c>
      <s:c r="AQ78" s="4" t="s">
        <s:v>26</s:v>
      </s:c>
      <s:c r="AR78" s="4">
        <s:v>76</s:v>
      </s:c>
      <s:c r="AS78" s="9">
        <s:f>AS77+1/3</s:f>
        <s:v>25.999999999999975</s:v>
      </s:c>
      <s:c r="AW78" s="4" t="s">
        <s:v>26</s:v>
      </s:c>
      <s:c r="AX78" s="4">
        <s:v>76</s:v>
      </s:c>
      <s:c r="AY78" s="9">
        <s:f>AY77+1/3</s:f>
        <s:v>25.999999999999975</s:v>
      </s:c>
    </s:row>
    <s:row r="79">
      <s:c r="M79" s="4" t="s">
        <s:v>26</s:v>
      </s:c>
      <s:c r="N79" s="4">
        <s:v>77</s:v>
      </s:c>
      <s:c r="O79" s="34">
        <s:v>9</s:v>
      </s:c>
      <s:c r="P79" s="39"/>
      <s:c r="R79" s="4" t="s">
        <s:v>26</s:v>
      </s:c>
      <s:c r="S79" s="4">
        <s:v>77</s:v>
      </s:c>
      <s:c r="T79" s="34">
        <s:v>9</s:v>
      </s:c>
      <s:c r="W79" s="4" t="s">
        <s:v>26</s:v>
      </s:c>
      <s:c r="X79" s="4">
        <s:v>77</s:v>
      </s:c>
      <s:c r="Y79" s="9">
        <s:f>Y78+1/3</s:f>
        <s:v>26.333333333333307</s:v>
      </s:c>
      <s:c r="AB79" s="4" t="s">
        <s:v>26</s:v>
      </s:c>
      <s:c r="AC79" s="4">
        <s:v>77</s:v>
      </s:c>
      <s:c r="AD79" s="9">
        <s:f>AD78+1/3</s:f>
        <s:v>26.333333333333307</s:v>
      </s:c>
      <s:c r="AG79" s="4" t="s">
        <s:v>26</s:v>
      </s:c>
      <s:c r="AH79" s="4">
        <s:v>77</s:v>
      </s:c>
      <s:c r="AI79" s="9">
        <s:f>AI78+1/3</s:f>
        <s:v>26.333333333333307</s:v>
      </s:c>
      <s:c r="AL79" s="4" t="s">
        <s:v>26</s:v>
      </s:c>
      <s:c r="AM79" s="4">
        <s:v>77</s:v>
      </s:c>
      <s:c r="AN79" s="9">
        <s:f>AN78+1/3</s:f>
        <s:v>26.333333333333307</s:v>
      </s:c>
      <s:c r="AQ79" s="4" t="s">
        <s:v>26</s:v>
      </s:c>
      <s:c r="AR79" s="4">
        <s:v>77</s:v>
      </s:c>
      <s:c r="AS79" s="9">
        <s:f>AS78+1/3</s:f>
        <s:v>26.333333333333307</s:v>
      </s:c>
      <s:c r="AW79" s="4" t="s">
        <s:v>26</s:v>
      </s:c>
      <s:c r="AX79" s="4">
        <s:v>77</s:v>
      </s:c>
      <s:c r="AY79" s="9">
        <s:f>AY78+1/3</s:f>
        <s:v>26.333333333333307</s:v>
      </s:c>
    </s:row>
    <s:row r="80">
      <s:c r="M80" s="4" t="s">
        <s:v>26</s:v>
      </s:c>
      <s:c r="N80" s="4">
        <s:v>78</s:v>
      </s:c>
      <s:c r="O80" s="34">
        <s:v>9</s:v>
      </s:c>
      <s:c r="P80" s="39"/>
      <s:c r="R80" s="4" t="s">
        <s:v>26</s:v>
      </s:c>
      <s:c r="S80" s="4">
        <s:v>78</s:v>
      </s:c>
      <s:c r="T80" s="34">
        <s:v>9</s:v>
      </s:c>
      <s:c r="W80" s="4" t="s">
        <s:v>26</s:v>
      </s:c>
      <s:c r="X80" s="4">
        <s:v>78</s:v>
      </s:c>
      <s:c r="Y80" s="9">
        <s:f>Y79+1/3</s:f>
        <s:v>26.666666666666639</s:v>
      </s:c>
      <s:c r="AB80" s="4" t="s">
        <s:v>26</s:v>
      </s:c>
      <s:c r="AC80" s="4">
        <s:v>78</s:v>
      </s:c>
      <s:c r="AD80" s="9">
        <s:f>AD79+1/3</s:f>
        <s:v>26.666666666666639</s:v>
      </s:c>
      <s:c r="AG80" s="4" t="s">
        <s:v>26</s:v>
      </s:c>
      <s:c r="AH80" s="4">
        <s:v>78</s:v>
      </s:c>
      <s:c r="AI80" s="9">
        <s:f>AI79+1/3</s:f>
        <s:v>26.666666666666639</s:v>
      </s:c>
      <s:c r="AL80" s="4" t="s">
        <s:v>26</s:v>
      </s:c>
      <s:c r="AM80" s="4">
        <s:v>78</s:v>
      </s:c>
      <s:c r="AN80" s="9">
        <s:f>AN79+1/3</s:f>
        <s:v>26.666666666666639</s:v>
      </s:c>
      <s:c r="AQ80" s="4" t="s">
        <s:v>26</s:v>
      </s:c>
      <s:c r="AR80" s="4">
        <s:v>78</s:v>
      </s:c>
      <s:c r="AS80" s="9">
        <s:f>AS79+1/3</s:f>
        <s:v>26.666666666666639</s:v>
      </s:c>
      <s:c r="AW80" s="4" t="s">
        <s:v>26</s:v>
      </s:c>
      <s:c r="AX80" s="4">
        <s:v>78</s:v>
      </s:c>
      <s:c r="AY80" s="9">
        <s:f>AY79+1/3</s:f>
        <s:v>26.666666666666639</s:v>
      </s:c>
    </s:row>
    <s:row r="81">
      <s:c r="M81" s="4" t="s">
        <s:v>26</s:v>
      </s:c>
      <s:c r="N81" s="4">
        <s:v>79</s:v>
      </s:c>
      <s:c r="O81" s="34">
        <s:v>9</s:v>
      </s:c>
      <s:c r="P81" s="39"/>
      <s:c r="R81" s="4" t="s">
        <s:v>26</s:v>
      </s:c>
      <s:c r="S81" s="4">
        <s:v>79</s:v>
      </s:c>
      <s:c r="T81" s="34">
        <s:v>9</s:v>
      </s:c>
      <s:c r="W81" s="4" t="s">
        <s:v>26</s:v>
      </s:c>
      <s:c r="X81" s="4">
        <s:v>79</s:v>
      </s:c>
      <s:c r="Y81" s="9">
        <s:f>Y80+1/3</s:f>
        <s:v>26.999999999999972</s:v>
      </s:c>
      <s:c r="AB81" s="4" t="s">
        <s:v>26</s:v>
      </s:c>
      <s:c r="AC81" s="4">
        <s:v>79</s:v>
      </s:c>
      <s:c r="AD81" s="9">
        <s:f>AD80+1/3</s:f>
        <s:v>26.999999999999972</s:v>
      </s:c>
      <s:c r="AG81" s="4" t="s">
        <s:v>26</s:v>
      </s:c>
      <s:c r="AH81" s="4">
        <s:v>79</s:v>
      </s:c>
      <s:c r="AI81" s="9">
        <s:f>AI80+1/3</s:f>
        <s:v>26.999999999999972</s:v>
      </s:c>
      <s:c r="AL81" s="4" t="s">
        <s:v>26</s:v>
      </s:c>
      <s:c r="AM81" s="4">
        <s:v>79</s:v>
      </s:c>
      <s:c r="AN81" s="9">
        <s:f>AN80+1/3</s:f>
        <s:v>26.999999999999972</s:v>
      </s:c>
      <s:c r="AQ81" s="4" t="s">
        <s:v>26</s:v>
      </s:c>
      <s:c r="AR81" s="4">
        <s:v>79</s:v>
      </s:c>
      <s:c r="AS81" s="9">
        <s:f>AS80+1/3</s:f>
        <s:v>26.999999999999972</s:v>
      </s:c>
      <s:c r="AW81" s="4" t="s">
        <s:v>26</s:v>
      </s:c>
      <s:c r="AX81" s="4">
        <s:v>79</s:v>
      </s:c>
      <s:c r="AY81" s="9">
        <s:f>AY80+1/3</s:f>
        <s:v>26.999999999999972</s:v>
      </s:c>
    </s:row>
    <s:row r="82">
      <s:c r="M82" s="4" t="s">
        <s:v>26</s:v>
      </s:c>
      <s:c r="N82" s="4">
        <s:v>80</s:v>
      </s:c>
      <s:c r="O82" s="34">
        <s:v>9</s:v>
      </s:c>
      <s:c r="P82" s="39"/>
      <s:c r="R82" s="4" t="s">
        <s:v>26</s:v>
      </s:c>
      <s:c r="S82" s="4">
        <s:v>80</s:v>
      </s:c>
      <s:c r="T82" s="34">
        <s:v>9</s:v>
      </s:c>
      <s:c r="W82" s="4" t="s">
        <s:v>26</s:v>
      </s:c>
      <s:c r="X82" s="4">
        <s:v>80</s:v>
      </s:c>
      <s:c r="Y82" s="9">
        <s:f>Y81+1/3</s:f>
        <s:v>27.333333333333304</s:v>
      </s:c>
      <s:c r="AB82" s="4" t="s">
        <s:v>26</s:v>
      </s:c>
      <s:c r="AC82" s="4">
        <s:v>80</s:v>
      </s:c>
      <s:c r="AD82" s="9">
        <s:f>AD81+1/3</s:f>
        <s:v>27.333333333333304</s:v>
      </s:c>
      <s:c r="AG82" s="4" t="s">
        <s:v>26</s:v>
      </s:c>
      <s:c r="AH82" s="4">
        <s:v>80</s:v>
      </s:c>
      <s:c r="AI82" s="9">
        <s:f>AI81+1/3</s:f>
        <s:v>27.333333333333304</s:v>
      </s:c>
      <s:c r="AL82" s="4" t="s">
        <s:v>26</s:v>
      </s:c>
      <s:c r="AM82" s="4">
        <s:v>80</s:v>
      </s:c>
      <s:c r="AN82" s="9">
        <s:f>AN81+1/3</s:f>
        <s:v>27.333333333333304</s:v>
      </s:c>
      <s:c r="AQ82" s="4" t="s">
        <s:v>26</s:v>
      </s:c>
      <s:c r="AR82" s="4">
        <s:v>80</s:v>
      </s:c>
      <s:c r="AS82" s="9">
        <s:f>AS81+1/3</s:f>
        <s:v>27.333333333333304</s:v>
      </s:c>
      <s:c r="AW82" s="4" t="s">
        <s:v>26</s:v>
      </s:c>
      <s:c r="AX82" s="4">
        <s:v>80</s:v>
      </s:c>
      <s:c r="AY82" s="9">
        <s:f>AY81+1/3</s:f>
        <s:v>27.333333333333304</s:v>
      </s:c>
    </s:row>
    <s:row r="83">
      <s:c r="M83" s="4" t="s">
        <s:v>26</s:v>
      </s:c>
      <s:c r="N83" s="4">
        <s:v>81</s:v>
      </s:c>
      <s:c r="O83" s="34">
        <s:v>9</s:v>
      </s:c>
      <s:c r="P83" s="39"/>
      <s:c r="R83" s="4" t="s">
        <s:v>26</s:v>
      </s:c>
      <s:c r="S83" s="4">
        <s:v>81</s:v>
      </s:c>
      <s:c r="T83" s="34">
        <s:v>9</s:v>
      </s:c>
      <s:c r="W83" s="4" t="s">
        <s:v>26</s:v>
      </s:c>
      <s:c r="X83" s="4">
        <s:v>81</s:v>
      </s:c>
      <s:c r="Y83" s="9">
        <s:f>Y82+1/3</s:f>
        <s:v>27.666666666666636</s:v>
      </s:c>
      <s:c r="AB83" s="4" t="s">
        <s:v>26</s:v>
      </s:c>
      <s:c r="AC83" s="4">
        <s:v>81</s:v>
      </s:c>
      <s:c r="AD83" s="9">
        <s:f>AD82+1/3</s:f>
        <s:v>27.666666666666636</s:v>
      </s:c>
      <s:c r="AG83" s="4" t="s">
        <s:v>26</s:v>
      </s:c>
      <s:c r="AH83" s="4">
        <s:v>81</s:v>
      </s:c>
      <s:c r="AI83" s="9">
        <s:f>AI82+1/3</s:f>
        <s:v>27.666666666666636</s:v>
      </s:c>
      <s:c r="AL83" s="4" t="s">
        <s:v>26</s:v>
      </s:c>
      <s:c r="AM83" s="4">
        <s:v>81</s:v>
      </s:c>
      <s:c r="AN83" s="9">
        <s:f>AN82+1/3</s:f>
        <s:v>27.666666666666636</s:v>
      </s:c>
      <s:c r="AQ83" s="4" t="s">
        <s:v>26</s:v>
      </s:c>
      <s:c r="AR83" s="4">
        <s:v>81</s:v>
      </s:c>
      <s:c r="AS83" s="9">
        <s:f>AS82+1/3</s:f>
        <s:v>27.666666666666636</s:v>
      </s:c>
      <s:c r="AW83" s="4" t="s">
        <s:v>26</s:v>
      </s:c>
      <s:c r="AX83" s="4">
        <s:v>81</s:v>
      </s:c>
      <s:c r="AY83" s="9">
        <s:f>AY82+1/3</s:f>
        <s:v>27.666666666666636</s:v>
      </s:c>
    </s:row>
    <s:row r="84">
      <s:c r="M84" s="4" t="s">
        <s:v>26</s:v>
      </s:c>
      <s:c r="N84" s="4">
        <s:v>82</s:v>
      </s:c>
      <s:c r="O84" s="34">
        <s:v>10</s:v>
      </s:c>
      <s:c r="R84" s="4" t="s">
        <s:v>26</s:v>
      </s:c>
      <s:c r="S84" s="4">
        <s:v>82</s:v>
      </s:c>
      <s:c r="T84" s="34">
        <s:v>10</s:v>
      </s:c>
      <s:c r="W84" s="4" t="s">
        <s:v>26</s:v>
      </s:c>
      <s:c r="X84" s="4">
        <s:v>82</s:v>
      </s:c>
      <s:c r="Y84" s="9">
        <s:f>Y83+1/3</s:f>
        <s:v>27.999999999999968</s:v>
      </s:c>
      <s:c r="AB84" s="4" t="s">
        <s:v>26</s:v>
      </s:c>
      <s:c r="AC84" s="4">
        <s:v>82</s:v>
      </s:c>
      <s:c r="AD84" s="9">
        <s:f>AD83+1/3</s:f>
        <s:v>27.999999999999968</s:v>
      </s:c>
      <s:c r="AG84" s="4" t="s">
        <s:v>26</s:v>
      </s:c>
      <s:c r="AH84" s="4">
        <s:v>82</s:v>
      </s:c>
      <s:c r="AI84" s="9">
        <s:f>AI83+1/3</s:f>
        <s:v>27.999999999999968</s:v>
      </s:c>
      <s:c r="AL84" s="4" t="s">
        <s:v>26</s:v>
      </s:c>
      <s:c r="AM84" s="4">
        <s:v>82</s:v>
      </s:c>
      <s:c r="AN84" s="9">
        <s:f>AN83+1/3</s:f>
        <s:v>27.999999999999968</s:v>
      </s:c>
      <s:c r="AQ84" s="4" t="s">
        <s:v>26</s:v>
      </s:c>
      <s:c r="AR84" s="4">
        <s:v>82</s:v>
      </s:c>
      <s:c r="AS84" s="9">
        <s:f>AS83+1/3</s:f>
        <s:v>27.999999999999968</s:v>
      </s:c>
      <s:c r="AW84" s="4" t="s">
        <s:v>26</s:v>
      </s:c>
      <s:c r="AX84" s="4">
        <s:v>82</s:v>
      </s:c>
      <s:c r="AY84" s="9">
        <s:f>AY83+1/3</s:f>
        <s:v>27.999999999999968</s:v>
      </s:c>
    </s:row>
    <s:row r="85">
      <s:c r="M85" s="4" t="s">
        <s:v>26</s:v>
      </s:c>
      <s:c r="N85" s="4">
        <s:v>83</s:v>
      </s:c>
      <s:c r="O85" s="34">
        <s:v>10</s:v>
      </s:c>
      <s:c r="R85" s="4" t="s">
        <s:v>26</s:v>
      </s:c>
      <s:c r="S85" s="4">
        <s:v>83</s:v>
      </s:c>
      <s:c r="T85" s="34">
        <s:v>10</s:v>
      </s:c>
      <s:c r="W85" s="4" t="s">
        <s:v>26</s:v>
      </s:c>
      <s:c r="X85" s="4">
        <s:v>83</s:v>
      </s:c>
      <s:c r="Y85" s="9">
        <s:f>Y84+1/3</s:f>
        <s:v>28.3333333333333</s:v>
      </s:c>
      <s:c r="AB85" s="4" t="s">
        <s:v>26</s:v>
      </s:c>
      <s:c r="AC85" s="4">
        <s:v>83</s:v>
      </s:c>
      <s:c r="AD85" s="9">
        <s:f>AD84+1/3</s:f>
        <s:v>28.3333333333333</s:v>
      </s:c>
      <s:c r="AG85" s="4" t="s">
        <s:v>26</s:v>
      </s:c>
      <s:c r="AH85" s="4">
        <s:v>83</s:v>
      </s:c>
      <s:c r="AI85" s="9">
        <s:f>AI84+1/3</s:f>
        <s:v>28.3333333333333</s:v>
      </s:c>
      <s:c r="AL85" s="4" t="s">
        <s:v>26</s:v>
      </s:c>
      <s:c r="AM85" s="4">
        <s:v>83</s:v>
      </s:c>
      <s:c r="AN85" s="9">
        <s:f>AN84+1/3</s:f>
        <s:v>28.3333333333333</s:v>
      </s:c>
      <s:c r="AQ85" s="4" t="s">
        <s:v>26</s:v>
      </s:c>
      <s:c r="AR85" s="4">
        <s:v>83</s:v>
      </s:c>
      <s:c r="AS85" s="9">
        <s:f>AS84+1/3</s:f>
        <s:v>28.3333333333333</s:v>
      </s:c>
      <s:c r="AW85" s="4" t="s">
        <s:v>26</s:v>
      </s:c>
      <s:c r="AX85" s="4">
        <s:v>83</s:v>
      </s:c>
      <s:c r="AY85" s="9">
        <s:f>AY84+1/3</s:f>
        <s:v>28.3333333333333</s:v>
      </s:c>
    </s:row>
    <s:row r="86">
      <s:c r="M86" s="4" t="s">
        <s:v>26</s:v>
      </s:c>
      <s:c r="N86" s="4">
        <s:v>84</s:v>
      </s:c>
      <s:c r="O86" s="34">
        <s:v>10</s:v>
      </s:c>
      <s:c r="R86" s="4" t="s">
        <s:v>26</s:v>
      </s:c>
      <s:c r="S86" s="4">
        <s:v>84</s:v>
      </s:c>
      <s:c r="T86" s="34">
        <s:v>10</s:v>
      </s:c>
      <s:c r="W86" s="4" t="s">
        <s:v>26</s:v>
      </s:c>
      <s:c r="X86" s="4">
        <s:v>84</s:v>
      </s:c>
      <s:c r="Y86" s="9">
        <s:f>Y85+1/3</s:f>
        <s:v>28.666666666666632</s:v>
      </s:c>
      <s:c r="AB86" s="4" t="s">
        <s:v>26</s:v>
      </s:c>
      <s:c r="AC86" s="4">
        <s:v>84</s:v>
      </s:c>
      <s:c r="AD86" s="9">
        <s:f>AD85+1/3</s:f>
        <s:v>28.666666666666632</s:v>
      </s:c>
      <s:c r="AG86" s="4" t="s">
        <s:v>26</s:v>
      </s:c>
      <s:c r="AH86" s="4">
        <s:v>84</s:v>
      </s:c>
      <s:c r="AI86" s="9">
        <s:f>AI85+1/3</s:f>
        <s:v>28.666666666666632</s:v>
      </s:c>
      <s:c r="AL86" s="4" t="s">
        <s:v>26</s:v>
      </s:c>
      <s:c r="AM86" s="4">
        <s:v>84</s:v>
      </s:c>
      <s:c r="AN86" s="9">
        <s:f>AN85+1/3</s:f>
        <s:v>28.666666666666632</s:v>
      </s:c>
      <s:c r="AQ86" s="4" t="s">
        <s:v>26</s:v>
      </s:c>
      <s:c r="AR86" s="4">
        <s:v>84</s:v>
      </s:c>
      <s:c r="AS86" s="9">
        <s:f>AS85+1/3</s:f>
        <s:v>28.666666666666632</s:v>
      </s:c>
      <s:c r="AW86" s="4" t="s">
        <s:v>26</s:v>
      </s:c>
      <s:c r="AX86" s="4">
        <s:v>84</s:v>
      </s:c>
      <s:c r="AY86" s="9">
        <s:f>AY85+1/3</s:f>
        <s:v>28.666666666666632</s:v>
      </s:c>
    </s:row>
    <s:row r="87">
      <s:c r="M87" s="4" t="s">
        <s:v>26</s:v>
      </s:c>
      <s:c r="N87" s="4">
        <s:v>85</s:v>
      </s:c>
      <s:c r="O87" s="34">
        <s:v>10</s:v>
      </s:c>
      <s:c r="R87" s="4" t="s">
        <s:v>26</s:v>
      </s:c>
      <s:c r="S87" s="4">
        <s:v>85</s:v>
      </s:c>
      <s:c r="T87" s="34">
        <s:v>10</s:v>
      </s:c>
      <s:c r="W87" s="4" t="s">
        <s:v>26</s:v>
      </s:c>
      <s:c r="X87" s="4">
        <s:v>85</s:v>
      </s:c>
      <s:c r="Y87" s="9">
        <s:f>Y86+1/3</s:f>
        <s:v>28.999999999999964</s:v>
      </s:c>
      <s:c r="AB87" s="4" t="s">
        <s:v>26</s:v>
      </s:c>
      <s:c r="AC87" s="4">
        <s:v>85</s:v>
      </s:c>
      <s:c r="AD87" s="9">
        <s:f>AD86+1/3</s:f>
        <s:v>28.999999999999964</s:v>
      </s:c>
      <s:c r="AG87" s="4" t="s">
        <s:v>26</s:v>
      </s:c>
      <s:c r="AH87" s="4">
        <s:v>85</s:v>
      </s:c>
      <s:c r="AI87" s="9">
        <s:f>AI86+1/3</s:f>
        <s:v>28.999999999999964</s:v>
      </s:c>
      <s:c r="AL87" s="4" t="s">
        <s:v>26</s:v>
      </s:c>
      <s:c r="AM87" s="4">
        <s:v>85</s:v>
      </s:c>
      <s:c r="AN87" s="9">
        <s:f>AN86+1/3</s:f>
        <s:v>28.999999999999964</s:v>
      </s:c>
      <s:c r="AQ87" s="4" t="s">
        <s:v>26</s:v>
      </s:c>
      <s:c r="AR87" s="4">
        <s:v>85</s:v>
      </s:c>
      <s:c r="AS87" s="9">
        <s:f>AS86+1/3</s:f>
        <s:v>28.999999999999964</s:v>
      </s:c>
      <s:c r="AW87" s="4" t="s">
        <s:v>26</s:v>
      </s:c>
      <s:c r="AX87" s="4">
        <s:v>85</s:v>
      </s:c>
      <s:c r="AY87" s="9">
        <s:f>AY86+1/3</s:f>
        <s:v>28.999999999999964</s:v>
      </s:c>
    </s:row>
    <s:row r="88">
      <s:c r="M88" s="4" t="s">
        <s:v>26</s:v>
      </s:c>
      <s:c r="N88" s="4">
        <s:v>86</s:v>
      </s:c>
      <s:c r="O88" s="34">
        <s:v>10</s:v>
      </s:c>
      <s:c r="R88" s="4" t="s">
        <s:v>26</s:v>
      </s:c>
      <s:c r="S88" s="4">
        <s:v>86</s:v>
      </s:c>
      <s:c r="T88" s="34">
        <s:v>10</s:v>
      </s:c>
      <s:c r="W88" s="4" t="s">
        <s:v>26</s:v>
      </s:c>
      <s:c r="X88" s="4">
        <s:v>86</s:v>
      </s:c>
      <s:c r="Y88" s="9">
        <s:f>Y87+1/3</s:f>
        <s:v>29.333333333333297</s:v>
      </s:c>
      <s:c r="AB88" s="4" t="s">
        <s:v>26</s:v>
      </s:c>
      <s:c r="AC88" s="4">
        <s:v>86</s:v>
      </s:c>
      <s:c r="AD88" s="9">
        <s:f>AD87+1/3</s:f>
        <s:v>29.333333333333297</s:v>
      </s:c>
      <s:c r="AG88" s="4" t="s">
        <s:v>26</s:v>
      </s:c>
      <s:c r="AH88" s="4">
        <s:v>86</s:v>
      </s:c>
      <s:c r="AI88" s="9">
        <s:f>AI87+1/3</s:f>
        <s:v>29.333333333333297</s:v>
      </s:c>
      <s:c r="AL88" s="4" t="s">
        <s:v>26</s:v>
      </s:c>
      <s:c r="AM88" s="4">
        <s:v>86</s:v>
      </s:c>
      <s:c r="AN88" s="9">
        <s:f>AN87+1/3</s:f>
        <s:v>29.333333333333297</s:v>
      </s:c>
      <s:c r="AQ88" s="4" t="s">
        <s:v>26</s:v>
      </s:c>
      <s:c r="AR88" s="4">
        <s:v>86</s:v>
      </s:c>
      <s:c r="AS88" s="9">
        <s:f>AS87+1/3</s:f>
        <s:v>29.333333333333297</s:v>
      </s:c>
      <s:c r="AW88" s="4" t="s">
        <s:v>26</s:v>
      </s:c>
      <s:c r="AX88" s="4">
        <s:v>86</s:v>
      </s:c>
      <s:c r="AY88" s="9">
        <s:f>AY87+1/3</s:f>
        <s:v>29.333333333333297</s:v>
      </s:c>
    </s:row>
    <s:row r="89">
      <s:c r="M89" s="4" t="s">
        <s:v>26</s:v>
      </s:c>
      <s:c r="N89" s="4">
        <s:v>87</s:v>
      </s:c>
      <s:c r="O89" s="34">
        <s:v>10</s:v>
      </s:c>
      <s:c r="R89" s="4" t="s">
        <s:v>26</s:v>
      </s:c>
      <s:c r="S89" s="4">
        <s:v>87</s:v>
      </s:c>
      <s:c r="T89" s="34">
        <s:v>10</s:v>
      </s:c>
      <s:c r="W89" s="4" t="s">
        <s:v>26</s:v>
      </s:c>
      <s:c r="X89" s="4">
        <s:v>87</s:v>
      </s:c>
      <s:c r="Y89" s="9">
        <s:f>Y88+1/3</s:f>
        <s:v>29.666666666666629</s:v>
      </s:c>
      <s:c r="AB89" s="4" t="s">
        <s:v>26</s:v>
      </s:c>
      <s:c r="AC89" s="4">
        <s:v>87</s:v>
      </s:c>
      <s:c r="AD89" s="9">
        <s:f>AD88+1/3</s:f>
        <s:v>29.666666666666629</s:v>
      </s:c>
      <s:c r="AG89" s="4" t="s">
        <s:v>26</s:v>
      </s:c>
      <s:c r="AH89" s="4">
        <s:v>87</s:v>
      </s:c>
      <s:c r="AI89" s="9">
        <s:f>AI88+1/3</s:f>
        <s:v>29.666666666666629</s:v>
      </s:c>
      <s:c r="AL89" s="4" t="s">
        <s:v>26</s:v>
      </s:c>
      <s:c r="AM89" s="4">
        <s:v>87</s:v>
      </s:c>
      <s:c r="AN89" s="9">
        <s:f>AN88+1/3</s:f>
        <s:v>29.666666666666629</s:v>
      </s:c>
      <s:c r="AQ89" s="4" t="s">
        <s:v>26</s:v>
      </s:c>
      <s:c r="AR89" s="4">
        <s:v>87</s:v>
      </s:c>
      <s:c r="AS89" s="9">
        <s:f>AS88+1/3</s:f>
        <s:v>29.666666666666629</s:v>
      </s:c>
      <s:c r="AW89" s="4" t="s">
        <s:v>26</s:v>
      </s:c>
      <s:c r="AX89" s="4">
        <s:v>87</s:v>
      </s:c>
      <s:c r="AY89" s="9">
        <s:f>AY88+1/3</s:f>
        <s:v>29.666666666666629</s:v>
      </s:c>
    </s:row>
    <s:row r="90">
      <s:c r="M90" s="4" t="s">
        <s:v>26</s:v>
      </s:c>
      <s:c r="N90" s="4">
        <s:v>88</s:v>
      </s:c>
      <s:c r="O90" s="34">
        <s:v>10</s:v>
      </s:c>
      <s:c r="R90" s="4" t="s">
        <s:v>26</s:v>
      </s:c>
      <s:c r="S90" s="4">
        <s:v>88</s:v>
      </s:c>
      <s:c r="T90" s="34">
        <s:v>10</s:v>
      </s:c>
      <s:c r="W90" s="4" t="s">
        <s:v>26</s:v>
      </s:c>
      <s:c r="X90" s="4">
        <s:v>88</s:v>
      </s:c>
      <s:c r="Y90" s="9">
        <s:f>Y89+1/3</s:f>
        <s:v>29.999999999999961</s:v>
      </s:c>
      <s:c r="AB90" s="4" t="s">
        <s:v>26</s:v>
      </s:c>
      <s:c r="AC90" s="4">
        <s:v>88</s:v>
      </s:c>
      <s:c r="AD90" s="9">
        <s:f>AD89+1/3</s:f>
        <s:v>29.999999999999961</s:v>
      </s:c>
      <s:c r="AG90" s="4" t="s">
        <s:v>26</s:v>
      </s:c>
      <s:c r="AH90" s="4">
        <s:v>88</s:v>
      </s:c>
      <s:c r="AI90" s="9">
        <s:f>AI89+1/3</s:f>
        <s:v>29.999999999999961</s:v>
      </s:c>
      <s:c r="AL90" s="4" t="s">
        <s:v>26</s:v>
      </s:c>
      <s:c r="AM90" s="4">
        <s:v>88</s:v>
      </s:c>
      <s:c r="AN90" s="9">
        <s:f>AN89+1/3</s:f>
        <s:v>29.999999999999961</s:v>
      </s:c>
      <s:c r="AQ90" s="4" t="s">
        <s:v>26</s:v>
      </s:c>
      <s:c r="AR90" s="4">
        <s:v>88</s:v>
      </s:c>
      <s:c r="AS90" s="9">
        <s:f>AS89+1/3</s:f>
        <s:v>29.999999999999961</s:v>
      </s:c>
      <s:c r="AW90" s="4" t="s">
        <s:v>26</s:v>
      </s:c>
      <s:c r="AX90" s="4">
        <s:v>88</s:v>
      </s:c>
      <s:c r="AY90" s="9">
        <s:f>AY89+1/3</s:f>
        <s:v>29.999999999999961</s:v>
      </s:c>
    </s:row>
    <s:row r="91">
      <s:c r="M91" s="4" t="s">
        <s:v>26</s:v>
      </s:c>
      <s:c r="N91" s="4">
        <s:v>89</s:v>
      </s:c>
      <s:c r="O91" s="34">
        <s:v>10</s:v>
      </s:c>
      <s:c r="P91" s="11"/>
      <s:c r="R91" s="4" t="s">
        <s:v>26</s:v>
      </s:c>
      <s:c r="S91" s="4">
        <s:v>89</s:v>
      </s:c>
      <s:c r="T91" s="34">
        <s:v>10</s:v>
      </s:c>
      <s:c r="W91" s="4" t="s">
        <s:v>26</s:v>
      </s:c>
      <s:c r="X91" s="4">
        <s:v>89</s:v>
      </s:c>
      <s:c r="Y91" s="9">
        <s:f>Y90+1/3</s:f>
        <s:v>30.333333333333293</s:v>
      </s:c>
      <s:c r="AB91" s="4" t="s">
        <s:v>26</s:v>
      </s:c>
      <s:c r="AC91" s="4">
        <s:v>89</s:v>
      </s:c>
      <s:c r="AD91" s="9">
        <s:f>AD90+1/3</s:f>
        <s:v>30.333333333333293</s:v>
      </s:c>
      <s:c r="AG91" s="4" t="s">
        <s:v>26</s:v>
      </s:c>
      <s:c r="AH91" s="4">
        <s:v>89</s:v>
      </s:c>
      <s:c r="AI91" s="9">
        <s:f>AI90+1/3</s:f>
        <s:v>30.333333333333293</s:v>
      </s:c>
      <s:c r="AL91" s="4" t="s">
        <s:v>26</s:v>
      </s:c>
      <s:c r="AM91" s="4">
        <s:v>89</s:v>
      </s:c>
      <s:c r="AN91" s="9">
        <s:f>AN90+1/3</s:f>
        <s:v>30.333333333333293</s:v>
      </s:c>
      <s:c r="AQ91" s="4" t="s">
        <s:v>26</s:v>
      </s:c>
      <s:c r="AR91" s="4">
        <s:v>89</s:v>
      </s:c>
      <s:c r="AS91" s="9">
        <s:f>AS90+1/3</s:f>
        <s:v>30.333333333333293</s:v>
      </s:c>
      <s:c r="AW91" s="4" t="s">
        <s:v>26</s:v>
      </s:c>
      <s:c r="AX91" s="4">
        <s:v>89</s:v>
      </s:c>
      <s:c r="AY91" s="9">
        <s:f>AY90+1/3</s:f>
        <s:v>30.333333333333293</s:v>
      </s:c>
    </s:row>
    <s:row r="92">
      <s:c r="M92" s="4" t="s">
        <s:v>26</s:v>
      </s:c>
      <s:c r="N92" s="4">
        <s:v>90</s:v>
      </s:c>
      <s:c r="O92" s="34">
        <s:v>10</s:v>
      </s:c>
      <s:c r="P92" s="11"/>
      <s:c r="R92" s="4" t="s">
        <s:v>26</s:v>
      </s:c>
      <s:c r="S92" s="4">
        <s:v>90</s:v>
      </s:c>
      <s:c r="T92" s="34">
        <s:v>10</s:v>
      </s:c>
      <s:c r="W92" s="4" t="s">
        <s:v>26</s:v>
      </s:c>
      <s:c r="X92" s="4">
        <s:v>90</s:v>
      </s:c>
      <s:c r="Y92" s="9">
        <s:f>Y91+1/3</s:f>
        <s:v>30.666666666666625</s:v>
      </s:c>
      <s:c r="AB92" s="4" t="s">
        <s:v>26</s:v>
      </s:c>
      <s:c r="AC92" s="4">
        <s:v>90</s:v>
      </s:c>
      <s:c r="AD92" s="9">
        <s:f>AD91+1/3</s:f>
        <s:v>30.666666666666625</s:v>
      </s:c>
      <s:c r="AG92" s="4" t="s">
        <s:v>26</s:v>
      </s:c>
      <s:c r="AH92" s="4">
        <s:v>90</s:v>
      </s:c>
      <s:c r="AI92" s="9">
        <s:f>AI91+1/3</s:f>
        <s:v>30.666666666666625</s:v>
      </s:c>
      <s:c r="AL92" s="4" t="s">
        <s:v>26</s:v>
      </s:c>
      <s:c r="AM92" s="4">
        <s:v>90</s:v>
      </s:c>
      <s:c r="AN92" s="9">
        <s:f>AN91+1/3</s:f>
        <s:v>30.666666666666625</s:v>
      </s:c>
      <s:c r="AQ92" s="4" t="s">
        <s:v>26</s:v>
      </s:c>
      <s:c r="AR92" s="4">
        <s:v>90</s:v>
      </s:c>
      <s:c r="AS92" s="9">
        <s:f>AS91+1/3</s:f>
        <s:v>30.666666666666625</s:v>
      </s:c>
      <s:c r="AW92" s="4" t="s">
        <s:v>26</s:v>
      </s:c>
      <s:c r="AX92" s="4">
        <s:v>90</s:v>
      </s:c>
      <s:c r="AY92" s="9">
        <s:f>AY91+1/3</s:f>
        <s:v>30.666666666666625</s:v>
      </s:c>
    </s:row>
    <s:row r="93">
      <s:c r="M93" s="4" t="s">
        <s:v>26</s:v>
      </s:c>
      <s:c r="N93" s="4">
        <s:v>91</s:v>
      </s:c>
      <s:c r="O93" s="34">
        <s:v>11</s:v>
      </s:c>
      <s:c r="P93" s="39"/>
      <s:c r="R93" s="4" t="s">
        <s:v>26</s:v>
      </s:c>
      <s:c r="S93" s="4">
        <s:v>91</s:v>
      </s:c>
      <s:c r="T93" s="34">
        <s:v>11</s:v>
      </s:c>
      <s:c r="W93" s="4" t="s">
        <s:v>26</s:v>
      </s:c>
      <s:c r="X93" s="4">
        <s:v>91</s:v>
      </s:c>
      <s:c r="Y93" s="9">
        <s:f>Y92+1/3</s:f>
        <s:v>30.999999999999957</s:v>
      </s:c>
      <s:c r="AB93" s="4" t="s">
        <s:v>26</s:v>
      </s:c>
      <s:c r="AC93" s="4">
        <s:v>91</s:v>
      </s:c>
      <s:c r="AD93" s="9">
        <s:f>AD92+1/3</s:f>
        <s:v>30.999999999999957</s:v>
      </s:c>
      <s:c r="AG93" s="4" t="s">
        <s:v>26</s:v>
      </s:c>
      <s:c r="AH93" s="4">
        <s:v>91</s:v>
      </s:c>
      <s:c r="AI93" s="9">
        <s:f>AI92+1/3</s:f>
        <s:v>30.999999999999957</s:v>
      </s:c>
      <s:c r="AL93" s="4" t="s">
        <s:v>26</s:v>
      </s:c>
      <s:c r="AM93" s="4">
        <s:v>91</s:v>
      </s:c>
      <s:c r="AN93" s="9">
        <s:f>AN92+1/3</s:f>
        <s:v>30.999999999999957</s:v>
      </s:c>
      <s:c r="AQ93" s="4" t="s">
        <s:v>26</s:v>
      </s:c>
      <s:c r="AR93" s="4">
        <s:v>91</s:v>
      </s:c>
      <s:c r="AS93" s="9">
        <s:f>AS92+1/3</s:f>
        <s:v>30.999999999999957</s:v>
      </s:c>
      <s:c r="AW93" s="4" t="s">
        <s:v>26</s:v>
      </s:c>
      <s:c r="AX93" s="4">
        <s:v>91</s:v>
      </s:c>
      <s:c r="AY93" s="9">
        <s:f>AY92+1/3</s:f>
        <s:v>30.999999999999957</s:v>
      </s:c>
    </s:row>
    <s:row r="94">
      <s:c r="M94" s="4" t="s">
        <s:v>26</s:v>
      </s:c>
      <s:c r="N94" s="4">
        <s:v>92</s:v>
      </s:c>
      <s:c r="O94" s="34">
        <s:v>11</s:v>
      </s:c>
      <s:c r="P94" s="39"/>
      <s:c r="R94" s="4" t="s">
        <s:v>26</s:v>
      </s:c>
      <s:c r="S94" s="4">
        <s:v>92</s:v>
      </s:c>
      <s:c r="T94" s="34">
        <s:v>11</s:v>
      </s:c>
      <s:c r="W94" s="4" t="s">
        <s:v>26</s:v>
      </s:c>
      <s:c r="X94" s="4">
        <s:v>92</s:v>
      </s:c>
      <s:c r="Y94" s="9">
        <s:f>Y93+1/3</s:f>
        <s:v>31.33333333333329</s:v>
      </s:c>
      <s:c r="AB94" s="4" t="s">
        <s:v>26</s:v>
      </s:c>
      <s:c r="AC94" s="4">
        <s:v>92</s:v>
      </s:c>
      <s:c r="AD94" s="9">
        <s:f>AD93+1/3</s:f>
        <s:v>31.33333333333329</s:v>
      </s:c>
      <s:c r="AG94" s="4" t="s">
        <s:v>26</s:v>
      </s:c>
      <s:c r="AH94" s="4">
        <s:v>92</s:v>
      </s:c>
      <s:c r="AI94" s="9">
        <s:f>AI93+1/3</s:f>
        <s:v>31.33333333333329</s:v>
      </s:c>
      <s:c r="AL94" s="4" t="s">
        <s:v>26</s:v>
      </s:c>
      <s:c r="AM94" s="4">
        <s:v>92</s:v>
      </s:c>
      <s:c r="AN94" s="9">
        <s:f>AN93+1/3</s:f>
        <s:v>31.33333333333329</s:v>
      </s:c>
      <s:c r="AQ94" s="4" t="s">
        <s:v>26</s:v>
      </s:c>
      <s:c r="AR94" s="4">
        <s:v>92</s:v>
      </s:c>
      <s:c r="AS94" s="9">
        <s:f>AS93+1/3</s:f>
        <s:v>31.33333333333329</s:v>
      </s:c>
      <s:c r="AW94" s="4" t="s">
        <s:v>26</s:v>
      </s:c>
      <s:c r="AX94" s="4">
        <s:v>92</s:v>
      </s:c>
      <s:c r="AY94" s="9">
        <s:f>AY93+1/3</s:f>
        <s:v>31.33333333333329</s:v>
      </s:c>
    </s:row>
    <s:row r="95">
      <s:c r="M95" s="4" t="s">
        <s:v>26</s:v>
      </s:c>
      <s:c r="N95" s="4">
        <s:v>93</s:v>
      </s:c>
      <s:c r="O95" s="34">
        <s:v>11</s:v>
      </s:c>
      <s:c r="P95" s="39"/>
      <s:c r="R95" s="4" t="s">
        <s:v>26</s:v>
      </s:c>
      <s:c r="S95" s="4">
        <s:v>93</s:v>
      </s:c>
      <s:c r="T95" s="34">
        <s:v>11</s:v>
      </s:c>
      <s:c r="W95" s="4" t="s">
        <s:v>26</s:v>
      </s:c>
      <s:c r="X95" s="4">
        <s:v>93</s:v>
      </s:c>
      <s:c r="Y95" s="9">
        <s:f>Y94+1/3</s:f>
        <s:v>31.666666666666622</s:v>
      </s:c>
      <s:c r="AB95" s="4" t="s">
        <s:v>26</s:v>
      </s:c>
      <s:c r="AC95" s="4">
        <s:v>93</s:v>
      </s:c>
      <s:c r="AD95" s="9">
        <s:f>AD94+1/3</s:f>
        <s:v>31.666666666666622</s:v>
      </s:c>
      <s:c r="AG95" s="4" t="s">
        <s:v>26</s:v>
      </s:c>
      <s:c r="AH95" s="4">
        <s:v>93</s:v>
      </s:c>
      <s:c r="AI95" s="9">
        <s:f>AI94+1/3</s:f>
        <s:v>31.666666666666622</s:v>
      </s:c>
      <s:c r="AL95" s="4" t="s">
        <s:v>26</s:v>
      </s:c>
      <s:c r="AM95" s="4">
        <s:v>93</s:v>
      </s:c>
      <s:c r="AN95" s="9">
        <s:f>AN94+1/3</s:f>
        <s:v>31.666666666666622</s:v>
      </s:c>
      <s:c r="AQ95" s="4" t="s">
        <s:v>26</s:v>
      </s:c>
      <s:c r="AR95" s="4">
        <s:v>93</s:v>
      </s:c>
      <s:c r="AS95" s="9">
        <s:f>AS94+1/3</s:f>
        <s:v>31.666666666666622</s:v>
      </s:c>
      <s:c r="AW95" s="4" t="s">
        <s:v>26</s:v>
      </s:c>
      <s:c r="AX95" s="4">
        <s:v>93</s:v>
      </s:c>
      <s:c r="AY95" s="9">
        <s:f>AY94+1/3</s:f>
        <s:v>31.666666666666622</s:v>
      </s:c>
    </s:row>
    <s:row r="96">
      <s:c r="M96" s="4" t="s">
        <s:v>26</s:v>
      </s:c>
      <s:c r="N96" s="4">
        <s:v>94</s:v>
      </s:c>
      <s:c r="O96" s="34">
        <s:v>11</s:v>
      </s:c>
      <s:c r="P96" s="39"/>
      <s:c r="R96" s="4" t="s">
        <s:v>26</s:v>
      </s:c>
      <s:c r="S96" s="4">
        <s:v>94</s:v>
      </s:c>
      <s:c r="T96" s="34">
        <s:v>11</s:v>
      </s:c>
      <s:c r="W96" s="4" t="s">
        <s:v>26</s:v>
      </s:c>
      <s:c r="X96" s="4">
        <s:v>94</s:v>
      </s:c>
      <s:c r="Y96" s="9">
        <s:f>Y95+1/3</s:f>
        <s:v>31.999999999999954</s:v>
      </s:c>
      <s:c r="AB96" s="4" t="s">
        <s:v>26</s:v>
      </s:c>
      <s:c r="AC96" s="4">
        <s:v>94</s:v>
      </s:c>
      <s:c r="AD96" s="9">
        <s:f>AD95+1/3</s:f>
        <s:v>31.999999999999954</s:v>
      </s:c>
      <s:c r="AG96" s="4" t="s">
        <s:v>26</s:v>
      </s:c>
      <s:c r="AH96" s="4">
        <s:v>94</s:v>
      </s:c>
      <s:c r="AI96" s="9">
        <s:f>AI95+1/3</s:f>
        <s:v>31.999999999999954</s:v>
      </s:c>
      <s:c r="AL96" s="4" t="s">
        <s:v>26</s:v>
      </s:c>
      <s:c r="AM96" s="4">
        <s:v>94</s:v>
      </s:c>
      <s:c r="AN96" s="9">
        <s:f>AN95+1/3</s:f>
        <s:v>31.999999999999954</s:v>
      </s:c>
      <s:c r="AQ96" s="4" t="s">
        <s:v>26</s:v>
      </s:c>
      <s:c r="AR96" s="4">
        <s:v>94</s:v>
      </s:c>
      <s:c r="AS96" s="9">
        <s:f>AS95+1/3</s:f>
        <s:v>31.999999999999954</s:v>
      </s:c>
      <s:c r="AW96" s="4" t="s">
        <s:v>26</s:v>
      </s:c>
      <s:c r="AX96" s="4">
        <s:v>94</s:v>
      </s:c>
      <s:c r="AY96" s="9">
        <s:f>AY95+1/3</s:f>
        <s:v>31.999999999999954</s:v>
      </s:c>
    </s:row>
    <s:row r="97">
      <s:c r="M97" s="4" t="s">
        <s:v>26</s:v>
      </s:c>
      <s:c r="N97" s="4">
        <s:v>95</s:v>
      </s:c>
      <s:c r="O97" s="34">
        <s:v>11</s:v>
      </s:c>
      <s:c r="P97" s="39"/>
      <s:c r="R97" s="4" t="s">
        <s:v>26</s:v>
      </s:c>
      <s:c r="S97" s="4">
        <s:v>95</s:v>
      </s:c>
      <s:c r="T97" s="34">
        <s:v>11</s:v>
      </s:c>
      <s:c r="W97" s="4" t="s">
        <s:v>26</s:v>
      </s:c>
      <s:c r="X97" s="4">
        <s:v>95</s:v>
      </s:c>
      <s:c r="Y97" s="9">
        <s:f>Y96+1/3</s:f>
        <s:v>32.333333333333286</s:v>
      </s:c>
      <s:c r="AB97" s="4" t="s">
        <s:v>26</s:v>
      </s:c>
      <s:c r="AC97" s="4">
        <s:v>95</s:v>
      </s:c>
      <s:c r="AD97" s="9">
        <s:f>AD96+1/3</s:f>
        <s:v>32.333333333333286</s:v>
      </s:c>
      <s:c r="AG97" s="4" t="s">
        <s:v>26</s:v>
      </s:c>
      <s:c r="AH97" s="4">
        <s:v>95</s:v>
      </s:c>
      <s:c r="AI97" s="9">
        <s:f>AI96+1/3</s:f>
        <s:v>32.333333333333286</s:v>
      </s:c>
      <s:c r="AL97" s="4" t="s">
        <s:v>26</s:v>
      </s:c>
      <s:c r="AM97" s="4">
        <s:v>95</s:v>
      </s:c>
      <s:c r="AN97" s="9">
        <s:f>AN96+1/3</s:f>
        <s:v>32.333333333333286</s:v>
      </s:c>
      <s:c r="AQ97" s="4" t="s">
        <s:v>26</s:v>
      </s:c>
      <s:c r="AR97" s="4">
        <s:v>95</s:v>
      </s:c>
      <s:c r="AS97" s="9">
        <s:f>AS96+1/3</s:f>
        <s:v>32.333333333333286</s:v>
      </s:c>
      <s:c r="AW97" s="4" t="s">
        <s:v>26</s:v>
      </s:c>
      <s:c r="AX97" s="4">
        <s:v>95</s:v>
      </s:c>
      <s:c r="AY97" s="9">
        <s:f>AY96+1/3</s:f>
        <s:v>32.333333333333286</s:v>
      </s:c>
    </s:row>
    <s:row r="98">
      <s:c r="M98" s="4" t="s">
        <s:v>26</s:v>
      </s:c>
      <s:c r="N98" s="4">
        <s:v>96</s:v>
      </s:c>
      <s:c r="O98" s="34">
        <s:v>11</s:v>
      </s:c>
      <s:c r="P98" s="39"/>
      <s:c r="R98" s="4" t="s">
        <s:v>26</s:v>
      </s:c>
      <s:c r="S98" s="4">
        <s:v>96</s:v>
      </s:c>
      <s:c r="T98" s="34">
        <s:v>11</s:v>
      </s:c>
      <s:c r="W98" s="4" t="s">
        <s:v>26</s:v>
      </s:c>
      <s:c r="X98" s="4">
        <s:v>96</s:v>
      </s:c>
      <s:c r="Y98" s="9">
        <s:f>Y97+1/3</s:f>
        <s:v>32.666666666666622</s:v>
      </s:c>
      <s:c r="AB98" s="4" t="s">
        <s:v>26</s:v>
      </s:c>
      <s:c r="AC98" s="4">
        <s:v>96</s:v>
      </s:c>
      <s:c r="AD98" s="9">
        <s:f>AD97+1/3</s:f>
        <s:v>32.666666666666622</s:v>
      </s:c>
      <s:c r="AG98" s="4" t="s">
        <s:v>26</s:v>
      </s:c>
      <s:c r="AH98" s="4">
        <s:v>96</s:v>
      </s:c>
      <s:c r="AI98" s="9">
        <s:f>AI97+1/3</s:f>
        <s:v>32.666666666666622</s:v>
      </s:c>
      <s:c r="AL98" s="4" t="s">
        <s:v>26</s:v>
      </s:c>
      <s:c r="AM98" s="4">
        <s:v>96</s:v>
      </s:c>
      <s:c r="AN98" s="9">
        <s:f>AN97+1/3</s:f>
        <s:v>32.666666666666622</s:v>
      </s:c>
      <s:c r="AQ98" s="4" t="s">
        <s:v>26</s:v>
      </s:c>
      <s:c r="AR98" s="4">
        <s:v>96</s:v>
      </s:c>
      <s:c r="AS98" s="9">
        <s:f>AS97+1/3</s:f>
        <s:v>32.666666666666622</s:v>
      </s:c>
      <s:c r="AW98" s="4" t="s">
        <s:v>26</s:v>
      </s:c>
      <s:c r="AX98" s="4">
        <s:v>96</s:v>
      </s:c>
      <s:c r="AY98" s="9">
        <s:f>AY97+1/3</s:f>
        <s:v>32.666666666666622</s:v>
      </s:c>
    </s:row>
    <s:row r="99">
      <s:c r="M99" s="4" t="s">
        <s:v>26</s:v>
      </s:c>
      <s:c r="N99" s="4">
        <s:v>97</s:v>
      </s:c>
      <s:c r="O99" s="34">
        <s:v>11</s:v>
      </s:c>
      <s:c r="P99" s="39"/>
      <s:c r="R99" s="4" t="s">
        <s:v>26</s:v>
      </s:c>
      <s:c r="S99" s="4">
        <s:v>97</s:v>
      </s:c>
      <s:c r="T99" s="34">
        <s:v>11</s:v>
      </s:c>
      <s:c r="W99" s="4" t="s">
        <s:v>26</s:v>
      </s:c>
      <s:c r="X99" s="4">
        <s:v>97</s:v>
      </s:c>
      <s:c r="Y99" s="9">
        <s:f>Y98+1/3</s:f>
        <s:v>32.999999999999957</s:v>
      </s:c>
      <s:c r="AB99" s="4" t="s">
        <s:v>26</s:v>
      </s:c>
      <s:c r="AC99" s="4">
        <s:v>97</s:v>
      </s:c>
      <s:c r="AD99" s="9">
        <s:f>AD98+1/3</s:f>
        <s:v>32.999999999999957</s:v>
      </s:c>
      <s:c r="AG99" s="4" t="s">
        <s:v>26</s:v>
      </s:c>
      <s:c r="AH99" s="4">
        <s:v>97</s:v>
      </s:c>
      <s:c r="AI99" s="9">
        <s:f>AI98+1/3</s:f>
        <s:v>32.999999999999957</s:v>
      </s:c>
      <s:c r="AL99" s="4" t="s">
        <s:v>26</s:v>
      </s:c>
      <s:c r="AM99" s="4">
        <s:v>97</s:v>
      </s:c>
      <s:c r="AN99" s="9">
        <s:f>AN98+1/3</s:f>
        <s:v>32.999999999999957</s:v>
      </s:c>
      <s:c r="AQ99" s="4" t="s">
        <s:v>26</s:v>
      </s:c>
      <s:c r="AR99" s="4">
        <s:v>97</s:v>
      </s:c>
      <s:c r="AS99" s="9">
        <s:f>AS98+1/3</s:f>
        <s:v>32.999999999999957</s:v>
      </s:c>
      <s:c r="AW99" s="4" t="s">
        <s:v>26</s:v>
      </s:c>
      <s:c r="AX99" s="4">
        <s:v>97</s:v>
      </s:c>
      <s:c r="AY99" s="9">
        <s:f>AY98+1/3</s:f>
        <s:v>32.999999999999957</s:v>
      </s:c>
    </s:row>
    <s:row r="100">
      <s:c r="M100" s="4" t="s">
        <s:v>26</s:v>
      </s:c>
      <s:c r="N100" s="4">
        <s:v>98</s:v>
      </s:c>
      <s:c r="O100" s="34">
        <s:v>11</s:v>
      </s:c>
      <s:c r="P100" s="39"/>
      <s:c r="R100" s="4" t="s">
        <s:v>26</s:v>
      </s:c>
      <s:c r="S100" s="4">
        <s:v>98</s:v>
      </s:c>
      <s:c r="T100" s="34">
        <s:v>11</s:v>
      </s:c>
      <s:c r="W100" s="4" t="s">
        <s:v>26</s:v>
      </s:c>
      <s:c r="X100" s="4">
        <s:v>98</s:v>
      </s:c>
      <s:c r="Y100" s="9">
        <s:f>Y99+1/3</s:f>
        <s:v>33.333333333333293</s:v>
      </s:c>
      <s:c r="AB100" s="4" t="s">
        <s:v>26</s:v>
      </s:c>
      <s:c r="AC100" s="4">
        <s:v>98</s:v>
      </s:c>
      <s:c r="AD100" s="9">
        <s:f>AD99+1/3</s:f>
        <s:v>33.333333333333293</s:v>
      </s:c>
      <s:c r="AG100" s="4" t="s">
        <s:v>26</s:v>
      </s:c>
      <s:c r="AH100" s="4">
        <s:v>98</s:v>
      </s:c>
      <s:c r="AI100" s="9">
        <s:f>AI99+1/3</s:f>
        <s:v>33.333333333333293</s:v>
      </s:c>
      <s:c r="AL100" s="4" t="s">
        <s:v>26</s:v>
      </s:c>
      <s:c r="AM100" s="4">
        <s:v>98</s:v>
      </s:c>
      <s:c r="AN100" s="9">
        <s:f>AN99+1/3</s:f>
        <s:v>33.333333333333293</s:v>
      </s:c>
      <s:c r="AQ100" s="4" t="s">
        <s:v>26</s:v>
      </s:c>
      <s:c r="AR100" s="4">
        <s:v>98</s:v>
      </s:c>
      <s:c r="AS100" s="9">
        <s:f>AS99+1/3</s:f>
        <s:v>33.333333333333293</s:v>
      </s:c>
      <s:c r="AW100" s="4" t="s">
        <s:v>26</s:v>
      </s:c>
      <s:c r="AX100" s="4">
        <s:v>98</s:v>
      </s:c>
      <s:c r="AY100" s="9">
        <s:f>AY99+1/3</s:f>
        <s:v>33.333333333333293</s:v>
      </s:c>
    </s:row>
    <s:row r="101">
      <s:c r="M101" s="4" t="s">
        <s:v>26</s:v>
      </s:c>
      <s:c r="N101" s="4">
        <s:v>99</s:v>
      </s:c>
      <s:c r="O101" s="34">
        <s:v>11</s:v>
      </s:c>
      <s:c r="P101" s="39"/>
      <s:c r="R101" s="4" t="s">
        <s:v>26</s:v>
      </s:c>
      <s:c r="S101" s="4">
        <s:v>99</s:v>
      </s:c>
      <s:c r="T101" s="34">
        <s:v>11</s:v>
      </s:c>
      <s:c r="W101" s="4" t="s">
        <s:v>26</s:v>
      </s:c>
      <s:c r="X101" s="4">
        <s:v>99</s:v>
      </s:c>
      <s:c r="Y101" s="9">
        <s:f>Y100+1/3</s:f>
        <s:v>33.666666666666629</s:v>
      </s:c>
      <s:c r="AB101" s="4" t="s">
        <s:v>26</s:v>
      </s:c>
      <s:c r="AC101" s="4">
        <s:v>99</s:v>
      </s:c>
      <s:c r="AD101" s="9">
        <s:f>AD100+1/3</s:f>
        <s:v>33.666666666666629</s:v>
      </s:c>
      <s:c r="AG101" s="4" t="s">
        <s:v>26</s:v>
      </s:c>
      <s:c r="AH101" s="4">
        <s:v>99</s:v>
      </s:c>
      <s:c r="AI101" s="9">
        <s:f>AI100+1/3</s:f>
        <s:v>33.666666666666629</s:v>
      </s:c>
      <s:c r="AL101" s="4" t="s">
        <s:v>26</s:v>
      </s:c>
      <s:c r="AM101" s="4">
        <s:v>99</s:v>
      </s:c>
      <s:c r="AN101" s="9">
        <s:f>AN100+1/3</s:f>
        <s:v>33.666666666666629</s:v>
      </s:c>
      <s:c r="AQ101" s="4" t="s">
        <s:v>26</s:v>
      </s:c>
      <s:c r="AR101" s="4">
        <s:v>99</s:v>
      </s:c>
      <s:c r="AS101" s="9">
        <s:f>AS100+1/3</s:f>
        <s:v>33.666666666666629</s:v>
      </s:c>
      <s:c r="AW101" s="4" t="s">
        <s:v>26</s:v>
      </s:c>
      <s:c r="AX101" s="4">
        <s:v>99</s:v>
      </s:c>
      <s:c r="AY101" s="9">
        <s:f>AY100+1/3</s:f>
        <s:v>33.666666666666629</s:v>
      </s:c>
    </s:row>
    <s:row r="102">
      <s:c r="M102" s="4" t="s">
        <s:v>26</s:v>
      </s:c>
      <s:c r="N102" s="4">
        <s:v>100</s:v>
      </s:c>
      <s:c r="O102" s="34">
        <s:v>12</s:v>
      </s:c>
      <s:c r="R102" s="4" t="s">
        <s:v>26</s:v>
      </s:c>
      <s:c r="S102" s="4">
        <s:v>100</s:v>
      </s:c>
      <s:c r="T102" s="34">
        <s:v>12</s:v>
      </s:c>
      <s:c r="W102" s="4" t="s">
        <s:v>26</s:v>
      </s:c>
      <s:c r="X102" s="4">
        <s:v>100</s:v>
      </s:c>
      <s:c r="Y102" s="9">
        <s:f>Y101+1/3</s:f>
        <s:v>33.999999999999964</s:v>
      </s:c>
      <s:c r="AB102" s="4" t="s">
        <s:v>26</s:v>
      </s:c>
      <s:c r="AC102" s="4">
        <s:v>100</s:v>
      </s:c>
      <s:c r="AD102" s="9">
        <s:f>AD101+1/3</s:f>
        <s:v>33.999999999999964</s:v>
      </s:c>
      <s:c r="AG102" s="4" t="s">
        <s:v>26</s:v>
      </s:c>
      <s:c r="AH102" s="4">
        <s:v>100</s:v>
      </s:c>
      <s:c r="AI102" s="9">
        <s:f>AI101+1/3</s:f>
        <s:v>33.999999999999964</s:v>
      </s:c>
      <s:c r="AL102" s="4" t="s">
        <s:v>26</s:v>
      </s:c>
      <s:c r="AM102" s="4">
        <s:v>100</s:v>
      </s:c>
      <s:c r="AN102" s="9">
        <s:f>AN101+1/3</s:f>
        <s:v>33.999999999999964</s:v>
      </s:c>
      <s:c r="AQ102" s="4" t="s">
        <s:v>26</s:v>
      </s:c>
      <s:c r="AR102" s="4">
        <s:v>100</s:v>
      </s:c>
      <s:c r="AS102" s="9">
        <s:f>AS101+1/3</s:f>
        <s:v>33.999999999999964</s:v>
      </s:c>
      <s:c r="AW102" s="4" t="s">
        <s:v>26</s:v>
      </s:c>
      <s:c r="AX102" s="4">
        <s:v>100</s:v>
      </s:c>
      <s:c r="AY102" s="9">
        <s:f>AY101+1/3</s:f>
        <s:v>33.999999999999964</s:v>
      </s:c>
    </s:row>
    <s:row r="103">
      <s:c r="M103" s="4" t="s">
        <s:v>26</s:v>
      </s:c>
      <s:c r="N103" s="4">
        <s:v>101</s:v>
      </s:c>
      <s:c r="O103" s="34">
        <s:v>12</s:v>
      </s:c>
      <s:c r="R103" s="4" t="s">
        <s:v>26</s:v>
      </s:c>
      <s:c r="S103" s="4">
        <s:v>101</s:v>
      </s:c>
      <s:c r="T103" s="34">
        <s:v>12</s:v>
      </s:c>
      <s:c r="W103" s="4" t="s">
        <s:v>26</s:v>
      </s:c>
      <s:c r="X103" s="4">
        <s:v>101</s:v>
      </s:c>
      <s:c r="Y103" s="9">
        <s:f>Y102+1/3</s:f>
        <s:v>34.3333333333333</s:v>
      </s:c>
      <s:c r="AB103" s="4" t="s">
        <s:v>26</s:v>
      </s:c>
      <s:c r="AC103" s="4">
        <s:v>101</s:v>
      </s:c>
      <s:c r="AD103" s="9">
        <s:f>AD102+1/3</s:f>
        <s:v>34.3333333333333</s:v>
      </s:c>
      <s:c r="AG103" s="4" t="s">
        <s:v>26</s:v>
      </s:c>
      <s:c r="AH103" s="4">
        <s:v>101</s:v>
      </s:c>
      <s:c r="AI103" s="9">
        <s:f>AI102+1/3</s:f>
        <s:v>34.3333333333333</s:v>
      </s:c>
      <s:c r="AL103" s="4" t="s">
        <s:v>26</s:v>
      </s:c>
      <s:c r="AM103" s="4">
        <s:v>101</s:v>
      </s:c>
      <s:c r="AN103" s="9">
        <s:f>AN102+1/3</s:f>
        <s:v>34.3333333333333</s:v>
      </s:c>
      <s:c r="AQ103" s="4" t="s">
        <s:v>26</s:v>
      </s:c>
      <s:c r="AR103" s="4">
        <s:v>101</s:v>
      </s:c>
      <s:c r="AS103" s="9">
        <s:f>AS102+1/3</s:f>
        <s:v>34.3333333333333</s:v>
      </s:c>
      <s:c r="AW103" s="4" t="s">
        <s:v>26</s:v>
      </s:c>
      <s:c r="AX103" s="4">
        <s:v>101</s:v>
      </s:c>
      <s:c r="AY103" s="9">
        <s:f>AY102+1/3</s:f>
        <s:v>34.3333333333333</s:v>
      </s:c>
    </s:row>
    <s:row r="104">
      <s:c r="M104" s="4" t="s">
        <s:v>26</s:v>
      </s:c>
      <s:c r="N104" s="4">
        <s:v>102</s:v>
      </s:c>
      <s:c r="O104" s="34">
        <s:v>12</s:v>
      </s:c>
      <s:c r="R104" s="4" t="s">
        <s:v>26</s:v>
      </s:c>
      <s:c r="S104" s="4">
        <s:v>102</s:v>
      </s:c>
      <s:c r="T104" s="34">
        <s:v>12</s:v>
      </s:c>
      <s:c r="W104" s="4" t="s">
        <s:v>26</s:v>
      </s:c>
      <s:c r="X104" s="4">
        <s:v>102</s:v>
      </s:c>
      <s:c r="Y104" s="9">
        <s:f>Y103+1/3</s:f>
        <s:v>34.666666666666636</s:v>
      </s:c>
      <s:c r="AB104" s="4" t="s">
        <s:v>26</s:v>
      </s:c>
      <s:c r="AC104" s="4">
        <s:v>102</s:v>
      </s:c>
      <s:c r="AD104" s="9">
        <s:f>AD103+1/3</s:f>
        <s:v>34.666666666666636</s:v>
      </s:c>
      <s:c r="AG104" s="4" t="s">
        <s:v>26</s:v>
      </s:c>
      <s:c r="AH104" s="4">
        <s:v>102</s:v>
      </s:c>
      <s:c r="AI104" s="9">
        <s:f>AI103+1/3</s:f>
        <s:v>34.666666666666636</s:v>
      </s:c>
      <s:c r="AL104" s="4" t="s">
        <s:v>26</s:v>
      </s:c>
      <s:c r="AM104" s="4">
        <s:v>102</s:v>
      </s:c>
      <s:c r="AN104" s="9">
        <s:f>AN103+1/3</s:f>
        <s:v>34.666666666666636</s:v>
      </s:c>
      <s:c r="AQ104" s="4" t="s">
        <s:v>26</s:v>
      </s:c>
      <s:c r="AR104" s="4">
        <s:v>102</s:v>
      </s:c>
      <s:c r="AS104" s="9">
        <s:f>AS103+1/3</s:f>
        <s:v>34.666666666666636</s:v>
      </s:c>
      <s:c r="AW104" s="4" t="s">
        <s:v>26</s:v>
      </s:c>
      <s:c r="AX104" s="4">
        <s:v>102</s:v>
      </s:c>
      <s:c r="AY104" s="9">
        <s:f>AY103+1/3</s:f>
        <s:v>34.666666666666636</s:v>
      </s:c>
    </s:row>
    <s:row r="105">
      <s:c r="M105" s="4" t="s">
        <s:v>26</s:v>
      </s:c>
      <s:c r="N105" s="4">
        <s:v>103</s:v>
      </s:c>
      <s:c r="O105" s="34">
        <s:v>12</s:v>
      </s:c>
      <s:c r="R105" s="4" t="s">
        <s:v>26</s:v>
      </s:c>
      <s:c r="S105" s="4">
        <s:v>103</s:v>
      </s:c>
      <s:c r="T105" s="34">
        <s:v>12</s:v>
      </s:c>
      <s:c r="W105" s="4" t="s">
        <s:v>26</s:v>
      </s:c>
      <s:c r="X105" s="4">
        <s:v>103</s:v>
      </s:c>
      <s:c r="Y105" s="9">
        <s:f>Y104+1/3</s:f>
        <s:v>34.999999999999972</s:v>
      </s:c>
      <s:c r="AB105" s="4" t="s">
        <s:v>26</s:v>
      </s:c>
      <s:c r="AC105" s="4">
        <s:v>103</s:v>
      </s:c>
      <s:c r="AD105" s="9">
        <s:f>AD104+1/3</s:f>
        <s:v>34.999999999999972</s:v>
      </s:c>
      <s:c r="AG105" s="4" t="s">
        <s:v>26</s:v>
      </s:c>
      <s:c r="AH105" s="4">
        <s:v>103</s:v>
      </s:c>
      <s:c r="AI105" s="9">
        <s:f>AI104+1/3</s:f>
        <s:v>34.999999999999972</s:v>
      </s:c>
      <s:c r="AL105" s="4" t="s">
        <s:v>26</s:v>
      </s:c>
      <s:c r="AM105" s="4">
        <s:v>103</s:v>
      </s:c>
      <s:c r="AN105" s="9">
        <s:f>AN104+1/3</s:f>
        <s:v>34.999999999999972</s:v>
      </s:c>
      <s:c r="AQ105" s="4" t="s">
        <s:v>26</s:v>
      </s:c>
      <s:c r="AR105" s="4">
        <s:v>103</s:v>
      </s:c>
      <s:c r="AS105" s="9">
        <s:f>AS104+1/3</s:f>
        <s:v>34.999999999999972</s:v>
      </s:c>
      <s:c r="AW105" s="4" t="s">
        <s:v>26</s:v>
      </s:c>
      <s:c r="AX105" s="4">
        <s:v>103</s:v>
      </s:c>
      <s:c r="AY105" s="9">
        <s:f>AY104+1/3</s:f>
        <s:v>34.999999999999972</s:v>
      </s:c>
    </s:row>
    <s:row r="106">
      <s:c r="M106" s="4" t="s">
        <s:v>26</s:v>
      </s:c>
      <s:c r="N106" s="4">
        <s:v>104</s:v>
      </s:c>
      <s:c r="O106" s="34">
        <s:v>12</s:v>
      </s:c>
      <s:c r="R106" s="4" t="s">
        <s:v>26</s:v>
      </s:c>
      <s:c r="S106" s="4">
        <s:v>104</s:v>
      </s:c>
      <s:c r="T106" s="34">
        <s:v>12</s:v>
      </s:c>
      <s:c r="W106" s="4" t="s">
        <s:v>26</s:v>
      </s:c>
      <s:c r="X106" s="4">
        <s:v>104</s:v>
      </s:c>
      <s:c r="Y106" s="9">
        <s:f>Y105+1/3</s:f>
        <s:v>35.333333333333307</s:v>
      </s:c>
      <s:c r="AB106" s="4" t="s">
        <s:v>26</s:v>
      </s:c>
      <s:c r="AC106" s="4">
        <s:v>104</s:v>
      </s:c>
      <s:c r="AD106" s="9">
        <s:f>AD105+1/3</s:f>
        <s:v>35.333333333333307</s:v>
      </s:c>
      <s:c r="AG106" s="4" t="s">
        <s:v>26</s:v>
      </s:c>
      <s:c r="AH106" s="4">
        <s:v>104</s:v>
      </s:c>
      <s:c r="AI106" s="9">
        <s:f>AI105+1/3</s:f>
        <s:v>35.333333333333307</s:v>
      </s:c>
      <s:c r="AL106" s="4" t="s">
        <s:v>26</s:v>
      </s:c>
      <s:c r="AM106" s="4">
        <s:v>104</s:v>
      </s:c>
      <s:c r="AN106" s="9">
        <s:f>AN105+1/3</s:f>
        <s:v>35.333333333333307</s:v>
      </s:c>
      <s:c r="AQ106" s="4" t="s">
        <s:v>26</s:v>
      </s:c>
      <s:c r="AR106" s="4">
        <s:v>104</s:v>
      </s:c>
      <s:c r="AS106" s="9">
        <s:f>AS105+1/3</s:f>
        <s:v>35.333333333333307</s:v>
      </s:c>
      <s:c r="AW106" s="4" t="s">
        <s:v>26</s:v>
      </s:c>
      <s:c r="AX106" s="4">
        <s:v>104</s:v>
      </s:c>
      <s:c r="AY106" s="9">
        <s:f>AY105+1/3</s:f>
        <s:v>35.333333333333307</s:v>
      </s:c>
    </s:row>
    <s:row r="107">
      <s:c r="M107" s="4" t="s">
        <s:v>26</s:v>
      </s:c>
      <s:c r="N107" s="4">
        <s:v>105</s:v>
      </s:c>
      <s:c r="O107" s="34">
        <s:v>12</s:v>
      </s:c>
      <s:c r="R107" s="4" t="s">
        <s:v>26</s:v>
      </s:c>
      <s:c r="S107" s="4">
        <s:v>105</s:v>
      </s:c>
      <s:c r="T107" s="34">
        <s:v>12</s:v>
      </s:c>
      <s:c r="W107" s="4" t="s">
        <s:v>26</s:v>
      </s:c>
      <s:c r="X107" s="4">
        <s:v>105</s:v>
      </s:c>
      <s:c r="Y107" s="9">
        <s:f>Y106+1/3</s:f>
        <s:v>35.666666666666643</s:v>
      </s:c>
      <s:c r="AB107" s="4" t="s">
        <s:v>26</s:v>
      </s:c>
      <s:c r="AC107" s="4">
        <s:v>105</s:v>
      </s:c>
      <s:c r="AD107" s="9">
        <s:f>AD106+1/3</s:f>
        <s:v>35.666666666666643</s:v>
      </s:c>
      <s:c r="AG107" s="4" t="s">
        <s:v>26</s:v>
      </s:c>
      <s:c r="AH107" s="4">
        <s:v>105</s:v>
      </s:c>
      <s:c r="AI107" s="9">
        <s:f>AI106+1/3</s:f>
        <s:v>35.666666666666643</s:v>
      </s:c>
      <s:c r="AL107" s="4" t="s">
        <s:v>26</s:v>
      </s:c>
      <s:c r="AM107" s="4">
        <s:v>105</s:v>
      </s:c>
      <s:c r="AN107" s="9">
        <s:f>AN106+1/3</s:f>
        <s:v>35.666666666666643</s:v>
      </s:c>
      <s:c r="AQ107" s="4" t="s">
        <s:v>26</s:v>
      </s:c>
      <s:c r="AR107" s="4">
        <s:v>105</s:v>
      </s:c>
      <s:c r="AS107" s="9">
        <s:f>AS106+1/3</s:f>
        <s:v>35.666666666666643</s:v>
      </s:c>
      <s:c r="AW107" s="4" t="s">
        <s:v>26</s:v>
      </s:c>
      <s:c r="AX107" s="4">
        <s:v>105</s:v>
      </s:c>
      <s:c r="AY107" s="9">
        <s:f>AY106+1/3</s:f>
        <s:v>35.666666666666643</s:v>
      </s:c>
    </s:row>
    <s:row r="108">
      <s:c r="M108" s="4" t="s">
        <s:v>26</s:v>
      </s:c>
      <s:c r="N108" s="4">
        <s:v>106</s:v>
      </s:c>
      <s:c r="O108" s="34">
        <s:v>12</s:v>
      </s:c>
      <s:c r="R108" s="4" t="s">
        <s:v>26</s:v>
      </s:c>
      <s:c r="S108" s="4">
        <s:v>106</s:v>
      </s:c>
      <s:c r="T108" s="34">
        <s:v>12</s:v>
      </s:c>
      <s:c r="W108" s="4" t="s">
        <s:v>26</s:v>
      </s:c>
      <s:c r="X108" s="4">
        <s:v>106</s:v>
      </s:c>
      <s:c r="Y108" s="9">
        <s:f>Y107+1/3</s:f>
        <s:v>35.999999999999979</s:v>
      </s:c>
      <s:c r="AB108" s="4" t="s">
        <s:v>26</s:v>
      </s:c>
      <s:c r="AC108" s="4">
        <s:v>106</s:v>
      </s:c>
      <s:c r="AD108" s="9">
        <s:f>AD107+1/3</s:f>
        <s:v>35.999999999999979</s:v>
      </s:c>
      <s:c r="AG108" s="4" t="s">
        <s:v>26</s:v>
      </s:c>
      <s:c r="AH108" s="4">
        <s:v>106</s:v>
      </s:c>
      <s:c r="AI108" s="9">
        <s:f>AI107+1/3</s:f>
        <s:v>35.999999999999979</s:v>
      </s:c>
      <s:c r="AL108" s="4" t="s">
        <s:v>26</s:v>
      </s:c>
      <s:c r="AM108" s="4">
        <s:v>106</s:v>
      </s:c>
      <s:c r="AN108" s="9">
        <s:f>AN107+1/3</s:f>
        <s:v>35.999999999999979</s:v>
      </s:c>
      <s:c r="AQ108" s="4" t="s">
        <s:v>26</s:v>
      </s:c>
      <s:c r="AR108" s="4">
        <s:v>106</s:v>
      </s:c>
      <s:c r="AS108" s="9">
        <s:f>AS107+1/3</s:f>
        <s:v>35.999999999999979</s:v>
      </s:c>
      <s:c r="AW108" s="4" t="s">
        <s:v>26</s:v>
      </s:c>
      <s:c r="AX108" s="4">
        <s:v>106</s:v>
      </s:c>
      <s:c r="AY108" s="9">
        <s:f>AY107+1/3</s:f>
        <s:v>35.999999999999979</s:v>
      </s:c>
    </s:row>
    <s:row r="109">
      <s:c r="M109" s="4" t="s">
        <s:v>26</s:v>
      </s:c>
      <s:c r="N109" s="4">
        <s:v>107</s:v>
      </s:c>
      <s:c r="O109" s="34">
        <s:v>12</s:v>
      </s:c>
      <s:c r="R109" s="4" t="s">
        <s:v>26</s:v>
      </s:c>
      <s:c r="S109" s="4">
        <s:v>107</s:v>
      </s:c>
      <s:c r="T109" s="34">
        <s:v>12</s:v>
      </s:c>
      <s:c r="W109" s="4" t="s">
        <s:v>26</s:v>
      </s:c>
      <s:c r="X109" s="4">
        <s:v>107</s:v>
      </s:c>
      <s:c r="Y109" s="9">
        <s:f>Y108+1/3</s:f>
        <s:v>36.333333333333314</s:v>
      </s:c>
      <s:c r="AB109" s="4" t="s">
        <s:v>26</s:v>
      </s:c>
      <s:c r="AC109" s="4">
        <s:v>107</s:v>
      </s:c>
      <s:c r="AD109" s="9">
        <s:f>AD108+1/3</s:f>
        <s:v>36.333333333333314</s:v>
      </s:c>
      <s:c r="AG109" s="4" t="s">
        <s:v>26</s:v>
      </s:c>
      <s:c r="AH109" s="4">
        <s:v>107</s:v>
      </s:c>
      <s:c r="AI109" s="9">
        <s:f>AI108+1/3</s:f>
        <s:v>36.333333333333314</s:v>
      </s:c>
      <s:c r="AL109" s="4" t="s">
        <s:v>26</s:v>
      </s:c>
      <s:c r="AM109" s="4">
        <s:v>107</s:v>
      </s:c>
      <s:c r="AN109" s="9">
        <s:f>AN108+1/3</s:f>
        <s:v>36.333333333333314</s:v>
      </s:c>
      <s:c r="AQ109" s="4" t="s">
        <s:v>26</s:v>
      </s:c>
      <s:c r="AR109" s="4">
        <s:v>107</s:v>
      </s:c>
      <s:c r="AS109" s="9">
        <s:f>AS108+1/3</s:f>
        <s:v>36.333333333333314</s:v>
      </s:c>
      <s:c r="AW109" s="4" t="s">
        <s:v>26</s:v>
      </s:c>
      <s:c r="AX109" s="4">
        <s:v>107</s:v>
      </s:c>
      <s:c r="AY109" s="9">
        <s:f>AY108+1/3</s:f>
        <s:v>36.333333333333314</s:v>
      </s:c>
    </s:row>
    <s:row r="110">
      <s:c r="M110" s="4" t="s">
        <s:v>26</s:v>
      </s:c>
      <s:c r="N110" s="4">
        <s:v>108</s:v>
      </s:c>
      <s:c r="O110" s="34">
        <s:v>12</s:v>
      </s:c>
      <s:c r="R110" s="4" t="s">
        <s:v>26</s:v>
      </s:c>
      <s:c r="S110" s="4">
        <s:v>108</s:v>
      </s:c>
      <s:c r="T110" s="34">
        <s:v>12</s:v>
      </s:c>
      <s:c r="W110" s="4" t="s">
        <s:v>26</s:v>
      </s:c>
      <s:c r="X110" s="4">
        <s:v>108</s:v>
      </s:c>
      <s:c r="Y110" s="9">
        <s:f>Y109+1/3</s:f>
        <s:v>36.66666666666665</s:v>
      </s:c>
      <s:c r="AB110" s="4" t="s">
        <s:v>26</s:v>
      </s:c>
      <s:c r="AC110" s="4">
        <s:v>108</s:v>
      </s:c>
      <s:c r="AD110" s="9">
        <s:f>AD109+1/3</s:f>
        <s:v>36.66666666666665</s:v>
      </s:c>
      <s:c r="AG110" s="4" t="s">
        <s:v>26</s:v>
      </s:c>
      <s:c r="AH110" s="4">
        <s:v>108</s:v>
      </s:c>
      <s:c r="AI110" s="9">
        <s:f>AI109+1/3</s:f>
        <s:v>36.66666666666665</s:v>
      </s:c>
      <s:c r="AL110" s="4" t="s">
        <s:v>26</s:v>
      </s:c>
      <s:c r="AM110" s="4">
        <s:v>108</s:v>
      </s:c>
      <s:c r="AN110" s="9">
        <s:f>AN109+1/3</s:f>
        <s:v>36.66666666666665</s:v>
      </s:c>
      <s:c r="AQ110" s="4" t="s">
        <s:v>26</s:v>
      </s:c>
      <s:c r="AR110" s="4">
        <s:v>108</s:v>
      </s:c>
      <s:c r="AS110" s="9">
        <s:f>AS109+1/3</s:f>
        <s:v>36.66666666666665</s:v>
      </s:c>
      <s:c r="AW110" s="4" t="s">
        <s:v>26</s:v>
      </s:c>
      <s:c r="AX110" s="4">
        <s:v>108</s:v>
      </s:c>
      <s:c r="AY110" s="9">
        <s:f>AY109+1/3</s:f>
        <s:v>36.66666666666665</s:v>
      </s:c>
    </s:row>
    <s:row r="111">
      <s:c r="M111" s="4" t="s">
        <s:v>26</s:v>
      </s:c>
      <s:c r="N111" s="4">
        <s:v>109</s:v>
      </s:c>
      <s:c r="O111" s="34">
        <s:v>13</s:v>
      </s:c>
      <s:c r="P111" s="39"/>
      <s:c r="R111" s="4" t="s">
        <s:v>26</s:v>
      </s:c>
      <s:c r="S111" s="4">
        <s:v>109</s:v>
      </s:c>
      <s:c r="T111" s="34">
        <s:v>13</s:v>
      </s:c>
      <s:c r="W111" s="4" t="s">
        <s:v>26</s:v>
      </s:c>
      <s:c r="X111" s="4">
        <s:v>109</s:v>
      </s:c>
      <s:c r="Y111" s="9">
        <s:f>Y110+1/3</s:f>
        <s:v>36.999999999999986</s:v>
      </s:c>
      <s:c r="AB111" s="4" t="s">
        <s:v>26</s:v>
      </s:c>
      <s:c r="AC111" s="4">
        <s:v>109</s:v>
      </s:c>
      <s:c r="AD111" s="9">
        <s:f>AD110+1/3</s:f>
        <s:v>36.999999999999986</s:v>
      </s:c>
      <s:c r="AG111" s="4" t="s">
        <s:v>26</s:v>
      </s:c>
      <s:c r="AH111" s="4">
        <s:v>109</s:v>
      </s:c>
      <s:c r="AI111" s="9">
        <s:f>AI110+1/3</s:f>
        <s:v>36.999999999999986</s:v>
      </s:c>
      <s:c r="AL111" s="4" t="s">
        <s:v>26</s:v>
      </s:c>
      <s:c r="AM111" s="4">
        <s:v>109</s:v>
      </s:c>
      <s:c r="AN111" s="9">
        <s:f>AN110+1/3</s:f>
        <s:v>36.999999999999986</s:v>
      </s:c>
      <s:c r="AQ111" s="4" t="s">
        <s:v>26</s:v>
      </s:c>
      <s:c r="AR111" s="4">
        <s:v>109</s:v>
      </s:c>
      <s:c r="AS111" s="9">
        <s:f>AS110+1/3</s:f>
        <s:v>36.999999999999986</s:v>
      </s:c>
      <s:c r="AW111" s="4" t="s">
        <s:v>26</s:v>
      </s:c>
      <s:c r="AX111" s="4">
        <s:v>109</s:v>
      </s:c>
      <s:c r="AY111" s="9">
        <s:f>AY110+1/3</s:f>
        <s:v>36.999999999999986</s:v>
      </s:c>
    </s:row>
    <s:row r="112">
      <s:c r="M112" s="4" t="s">
        <s:v>26</s:v>
      </s:c>
      <s:c r="N112" s="4">
        <s:v>110</s:v>
      </s:c>
      <s:c r="O112" s="34">
        <s:v>13</s:v>
      </s:c>
      <s:c r="P112" s="39"/>
      <s:c r="R112" s="4" t="s">
        <s:v>26</s:v>
      </s:c>
      <s:c r="S112" s="4">
        <s:v>110</s:v>
      </s:c>
      <s:c r="T112" s="34">
        <s:v>13</s:v>
      </s:c>
      <s:c r="W112" s="4" t="s">
        <s:v>26</s:v>
      </s:c>
      <s:c r="X112" s="4">
        <s:v>110</s:v>
      </s:c>
      <s:c r="Y112" s="9">
        <s:f>Y111+1/3</s:f>
        <s:v>37.333333333333321</s:v>
      </s:c>
      <s:c r="AB112" s="4" t="s">
        <s:v>26</s:v>
      </s:c>
      <s:c r="AC112" s="4">
        <s:v>110</s:v>
      </s:c>
      <s:c r="AD112" s="9">
        <s:f>AD111+1/3</s:f>
        <s:v>37.333333333333321</s:v>
      </s:c>
      <s:c r="AG112" s="4" t="s">
        <s:v>26</s:v>
      </s:c>
      <s:c r="AH112" s="4">
        <s:v>110</s:v>
      </s:c>
      <s:c r="AI112" s="9">
        <s:f>AI111+1/3</s:f>
        <s:v>37.333333333333321</s:v>
      </s:c>
      <s:c r="AL112" s="4" t="s">
        <s:v>26</s:v>
      </s:c>
      <s:c r="AM112" s="4">
        <s:v>110</s:v>
      </s:c>
      <s:c r="AN112" s="9">
        <s:f>AN111+1/3</s:f>
        <s:v>37.333333333333321</s:v>
      </s:c>
      <s:c r="AQ112" s="4" t="s">
        <s:v>26</s:v>
      </s:c>
      <s:c r="AR112" s="4">
        <s:v>110</s:v>
      </s:c>
      <s:c r="AS112" s="9">
        <s:f>AS111+1/3</s:f>
        <s:v>37.333333333333321</s:v>
      </s:c>
      <s:c r="AW112" s="4" t="s">
        <s:v>26</s:v>
      </s:c>
      <s:c r="AX112" s="4">
        <s:v>110</s:v>
      </s:c>
      <s:c r="AY112" s="9">
        <s:f>AY111+1/3</s:f>
        <s:v>37.333333333333321</s:v>
      </s:c>
    </s:row>
    <s:row r="113">
      <s:c r="M113" s="4" t="s">
        <s:v>26</s:v>
      </s:c>
      <s:c r="N113" s="4">
        <s:v>111</s:v>
      </s:c>
      <s:c r="O113" s="34">
        <s:v>13</s:v>
      </s:c>
      <s:c r="P113" s="39"/>
      <s:c r="R113" s="4" t="s">
        <s:v>26</s:v>
      </s:c>
      <s:c r="S113" s="4">
        <s:v>111</s:v>
      </s:c>
      <s:c r="T113" s="34">
        <s:v>13</s:v>
      </s:c>
      <s:c r="W113" s="4" t="s">
        <s:v>26</s:v>
      </s:c>
      <s:c r="X113" s="4">
        <s:v>111</s:v>
      </s:c>
      <s:c r="Y113" s="9">
        <s:f>Y112+1/3</s:f>
        <s:v>37.666666666666657</s:v>
      </s:c>
      <s:c r="AB113" s="4" t="s">
        <s:v>26</s:v>
      </s:c>
      <s:c r="AC113" s="4">
        <s:v>111</s:v>
      </s:c>
      <s:c r="AD113" s="9">
        <s:f>AD112+1/3</s:f>
        <s:v>37.666666666666657</s:v>
      </s:c>
      <s:c r="AG113" s="4" t="s">
        <s:v>26</s:v>
      </s:c>
      <s:c r="AH113" s="4">
        <s:v>111</s:v>
      </s:c>
      <s:c r="AI113" s="9">
        <s:f>AI112+1/3</s:f>
        <s:v>37.666666666666657</s:v>
      </s:c>
      <s:c r="AL113" s="4" t="s">
        <s:v>26</s:v>
      </s:c>
      <s:c r="AM113" s="4">
        <s:v>111</s:v>
      </s:c>
      <s:c r="AN113" s="9">
        <s:f>AN112+1/3</s:f>
        <s:v>37.666666666666657</s:v>
      </s:c>
      <s:c r="AQ113" s="4" t="s">
        <s:v>26</s:v>
      </s:c>
      <s:c r="AR113" s="4">
        <s:v>111</s:v>
      </s:c>
      <s:c r="AS113" s="9">
        <s:f>AS112+1/3</s:f>
        <s:v>37.666666666666657</s:v>
      </s:c>
      <s:c r="AW113" s="4" t="s">
        <s:v>26</s:v>
      </s:c>
      <s:c r="AX113" s="4">
        <s:v>111</s:v>
      </s:c>
      <s:c r="AY113" s="9">
        <s:f>AY112+1/3</s:f>
        <s:v>37.666666666666657</s:v>
      </s:c>
    </s:row>
    <s:row r="114">
      <s:c r="M114" s="4" t="s">
        <s:v>26</s:v>
      </s:c>
      <s:c r="N114" s="4">
        <s:v>112</s:v>
      </s:c>
      <s:c r="O114" s="34">
        <s:v>13</s:v>
      </s:c>
      <s:c r="P114" s="39"/>
      <s:c r="R114" s="4" t="s">
        <s:v>26</s:v>
      </s:c>
      <s:c r="S114" s="4">
        <s:v>112</s:v>
      </s:c>
      <s:c r="T114" s="34">
        <s:v>13</s:v>
      </s:c>
      <s:c r="W114" s="4" t="s">
        <s:v>26</s:v>
      </s:c>
      <s:c r="X114" s="4">
        <s:v>112</s:v>
      </s:c>
      <s:c r="Y114" s="9">
        <s:f>Y113+1/3</s:f>
        <s:v>37.999999999999993</s:v>
      </s:c>
      <s:c r="AB114" s="4" t="s">
        <s:v>26</s:v>
      </s:c>
      <s:c r="AC114" s="4">
        <s:v>112</s:v>
      </s:c>
      <s:c r="AD114" s="9">
        <s:f>AD113+1/3</s:f>
        <s:v>37.999999999999993</s:v>
      </s:c>
      <s:c r="AG114" s="4" t="s">
        <s:v>26</s:v>
      </s:c>
      <s:c r="AH114" s="4">
        <s:v>112</s:v>
      </s:c>
      <s:c r="AI114" s="9">
        <s:f>AI113+1/3</s:f>
        <s:v>37.999999999999993</s:v>
      </s:c>
      <s:c r="AL114" s="4" t="s">
        <s:v>26</s:v>
      </s:c>
      <s:c r="AM114" s="4">
        <s:v>112</s:v>
      </s:c>
      <s:c r="AN114" s="9">
        <s:f>AN113+1/3</s:f>
        <s:v>37.999999999999993</s:v>
      </s:c>
      <s:c r="AQ114" s="4" t="s">
        <s:v>26</s:v>
      </s:c>
      <s:c r="AR114" s="4">
        <s:v>112</s:v>
      </s:c>
      <s:c r="AS114" s="9">
        <s:f>AS113+1/3</s:f>
        <s:v>37.999999999999993</s:v>
      </s:c>
      <s:c r="AW114" s="4" t="s">
        <s:v>26</s:v>
      </s:c>
      <s:c r="AX114" s="4">
        <s:v>112</s:v>
      </s:c>
      <s:c r="AY114" s="9">
        <s:f>AY113+1/3</s:f>
        <s:v>37.999999999999993</s:v>
      </s:c>
    </s:row>
    <s:row r="115">
      <s:c r="M115" s="4" t="s">
        <s:v>26</s:v>
      </s:c>
      <s:c r="N115" s="4">
        <s:v>113</s:v>
      </s:c>
      <s:c r="O115" s="34">
        <s:v>13</s:v>
      </s:c>
      <s:c r="P115" s="39"/>
      <s:c r="R115" s="4" t="s">
        <s:v>26</s:v>
      </s:c>
      <s:c r="S115" s="4">
        <s:v>113</s:v>
      </s:c>
      <s:c r="T115" s="34">
        <s:v>13</s:v>
      </s:c>
      <s:c r="W115" s="4" t="s">
        <s:v>26</s:v>
      </s:c>
      <s:c r="X115" s="4">
        <s:v>113</s:v>
      </s:c>
      <s:c r="Y115" s="9">
        <s:f>Y114+1/3</s:f>
        <s:v>38.333333333333329</s:v>
      </s:c>
      <s:c r="AB115" s="4" t="s">
        <s:v>26</s:v>
      </s:c>
      <s:c r="AC115" s="4">
        <s:v>113</s:v>
      </s:c>
      <s:c r="AD115" s="9">
        <s:f>AD114+1/3</s:f>
        <s:v>38.333333333333329</s:v>
      </s:c>
      <s:c r="AG115" s="4" t="s">
        <s:v>26</s:v>
      </s:c>
      <s:c r="AH115" s="4">
        <s:v>113</s:v>
      </s:c>
      <s:c r="AI115" s="9">
        <s:f>AI114+1/3</s:f>
        <s:v>38.333333333333329</s:v>
      </s:c>
      <s:c r="AL115" s="4" t="s">
        <s:v>26</s:v>
      </s:c>
      <s:c r="AM115" s="4">
        <s:v>113</s:v>
      </s:c>
      <s:c r="AN115" s="9">
        <s:f>AN114+1/3</s:f>
        <s:v>38.333333333333329</s:v>
      </s:c>
      <s:c r="AQ115" s="4" t="s">
        <s:v>26</s:v>
      </s:c>
      <s:c r="AR115" s="4">
        <s:v>113</s:v>
      </s:c>
      <s:c r="AS115" s="9">
        <s:f>AS114+1/3</s:f>
        <s:v>38.333333333333329</s:v>
      </s:c>
      <s:c r="AW115" s="4" t="s">
        <s:v>26</s:v>
      </s:c>
      <s:c r="AX115" s="4">
        <s:v>113</s:v>
      </s:c>
      <s:c r="AY115" s="9">
        <s:f>AY114+1/3</s:f>
        <s:v>38.333333333333329</s:v>
      </s:c>
    </s:row>
    <s:row r="116">
      <s:c r="M116" s="4" t="s">
        <s:v>26</s:v>
      </s:c>
      <s:c r="N116" s="4">
        <s:v>114</s:v>
      </s:c>
      <s:c r="O116" s="34">
        <s:v>13</s:v>
      </s:c>
      <s:c r="P116" s="39"/>
      <s:c r="R116" s="4" t="s">
        <s:v>26</s:v>
      </s:c>
      <s:c r="S116" s="4">
        <s:v>114</s:v>
      </s:c>
      <s:c r="T116" s="34">
        <s:v>13</s:v>
      </s:c>
      <s:c r="W116" s="4" t="s">
        <s:v>26</s:v>
      </s:c>
      <s:c r="X116" s="4">
        <s:v>114</s:v>
      </s:c>
      <s:c r="Y116" s="9">
        <s:f>Y115+1/3</s:f>
        <s:v>38.666666666666664</s:v>
      </s:c>
      <s:c r="AB116" s="4" t="s">
        <s:v>26</s:v>
      </s:c>
      <s:c r="AC116" s="4">
        <s:v>114</s:v>
      </s:c>
      <s:c r="AD116" s="9">
        <s:f>AD115+1/3</s:f>
        <s:v>38.666666666666664</s:v>
      </s:c>
      <s:c r="AG116" s="4" t="s">
        <s:v>26</s:v>
      </s:c>
      <s:c r="AH116" s="4">
        <s:v>114</s:v>
      </s:c>
      <s:c r="AI116" s="9">
        <s:f>AI115+1/3</s:f>
        <s:v>38.666666666666664</s:v>
      </s:c>
      <s:c r="AL116" s="4" t="s">
        <s:v>26</s:v>
      </s:c>
      <s:c r="AM116" s="4">
        <s:v>114</s:v>
      </s:c>
      <s:c r="AN116" s="9">
        <s:f>AN115+1/3</s:f>
        <s:v>38.666666666666664</s:v>
      </s:c>
      <s:c r="AQ116" s="4" t="s">
        <s:v>26</s:v>
      </s:c>
      <s:c r="AR116" s="4">
        <s:v>114</s:v>
      </s:c>
      <s:c r="AS116" s="9">
        <s:f>AS115+1/3</s:f>
        <s:v>38.666666666666664</s:v>
      </s:c>
      <s:c r="AW116" s="4" t="s">
        <s:v>26</s:v>
      </s:c>
      <s:c r="AX116" s="4">
        <s:v>114</s:v>
      </s:c>
      <s:c r="AY116" s="9">
        <s:f>AY115+1/3</s:f>
        <s:v>38.666666666666664</s:v>
      </s:c>
    </s:row>
    <s:row r="117">
      <s:c r="M117" s="4" t="s">
        <s:v>26</s:v>
      </s:c>
      <s:c r="N117" s="4">
        <s:v>115</s:v>
      </s:c>
      <s:c r="O117" s="34">
        <s:v>13</s:v>
      </s:c>
      <s:c r="P117" s="39"/>
      <s:c r="R117" s="4" t="s">
        <s:v>26</s:v>
      </s:c>
      <s:c r="S117" s="4">
        <s:v>115</s:v>
      </s:c>
      <s:c r="T117" s="34">
        <s:v>13</s:v>
      </s:c>
      <s:c r="W117" s="4" t="s">
        <s:v>26</s:v>
      </s:c>
      <s:c r="X117" s="4">
        <s:v>115</s:v>
      </s:c>
      <s:c r="Y117" s="9">
        <s:f>Y116+1/3</s:f>
        <s:v>39</s:v>
      </s:c>
      <s:c r="AB117" s="4" t="s">
        <s:v>26</s:v>
      </s:c>
      <s:c r="AC117" s="4">
        <s:v>115</s:v>
      </s:c>
      <s:c r="AD117" s="9">
        <s:f>AD116+1/3</s:f>
        <s:v>39</s:v>
      </s:c>
      <s:c r="AG117" s="4" t="s">
        <s:v>26</s:v>
      </s:c>
      <s:c r="AH117" s="4">
        <s:v>115</s:v>
      </s:c>
      <s:c r="AI117" s="9">
        <s:f>AI116+1/3</s:f>
        <s:v>39</s:v>
      </s:c>
      <s:c r="AL117" s="4" t="s">
        <s:v>26</s:v>
      </s:c>
      <s:c r="AM117" s="4">
        <s:v>115</s:v>
      </s:c>
      <s:c r="AN117" s="9">
        <s:f>AN116+1/3</s:f>
        <s:v>39</s:v>
      </s:c>
      <s:c r="AQ117" s="4" t="s">
        <s:v>26</s:v>
      </s:c>
      <s:c r="AR117" s="4">
        <s:v>115</s:v>
      </s:c>
      <s:c r="AS117" s="9">
        <s:f>AS116+1/3</s:f>
        <s:v>39</s:v>
      </s:c>
      <s:c r="AW117" s="4" t="s">
        <s:v>26</s:v>
      </s:c>
      <s:c r="AX117" s="4">
        <s:v>115</s:v>
      </s:c>
      <s:c r="AY117" s="9">
        <s:f>AY116+1/3</s:f>
        <s:v>39</s:v>
      </s:c>
    </s:row>
    <s:row r="118">
      <s:c r="M118" s="4" t="s">
        <s:v>26</s:v>
      </s:c>
      <s:c r="N118" s="4">
        <s:v>116</s:v>
      </s:c>
      <s:c r="O118" s="34">
        <s:v>13</s:v>
      </s:c>
      <s:c r="P118" s="39"/>
      <s:c r="R118" s="4" t="s">
        <s:v>26</s:v>
      </s:c>
      <s:c r="S118" s="4">
        <s:v>116</s:v>
      </s:c>
      <s:c r="T118" s="34">
        <s:v>13</s:v>
      </s:c>
      <s:c r="W118" s="4" t="s">
        <s:v>26</s:v>
      </s:c>
      <s:c r="X118" s="4">
        <s:v>116</s:v>
      </s:c>
      <s:c r="Y118" s="9">
        <s:f>Y117+1/3</s:f>
        <s:v>39.333333333333336</s:v>
      </s:c>
      <s:c r="AB118" s="4" t="s">
        <s:v>26</s:v>
      </s:c>
      <s:c r="AC118" s="4">
        <s:v>116</s:v>
      </s:c>
      <s:c r="AD118" s="9">
        <s:f>AD117+1/3</s:f>
        <s:v>39.333333333333336</s:v>
      </s:c>
      <s:c r="AG118" s="4" t="s">
        <s:v>26</s:v>
      </s:c>
      <s:c r="AH118" s="4">
        <s:v>116</s:v>
      </s:c>
      <s:c r="AI118" s="9">
        <s:f>AI117+1/3</s:f>
        <s:v>39.333333333333336</s:v>
      </s:c>
      <s:c r="AL118" s="4" t="s">
        <s:v>26</s:v>
      </s:c>
      <s:c r="AM118" s="4">
        <s:v>116</s:v>
      </s:c>
      <s:c r="AN118" s="9">
        <s:f>AN117+1/3</s:f>
        <s:v>39.333333333333336</s:v>
      </s:c>
      <s:c r="AQ118" s="4" t="s">
        <s:v>26</s:v>
      </s:c>
      <s:c r="AR118" s="4">
        <s:v>116</s:v>
      </s:c>
      <s:c r="AS118" s="9">
        <s:f>AS117+1/3</s:f>
        <s:v>39.333333333333336</s:v>
      </s:c>
      <s:c r="AW118" s="4" t="s">
        <s:v>26</s:v>
      </s:c>
      <s:c r="AX118" s="4">
        <s:v>116</s:v>
      </s:c>
      <s:c r="AY118" s="9">
        <s:f>AY117+1/3</s:f>
        <s:v>39.333333333333336</s:v>
      </s:c>
    </s:row>
    <s:row r="119">
      <s:c r="M119" s="4" t="s">
        <s:v>26</s:v>
      </s:c>
      <s:c r="N119" s="4">
        <s:v>117</s:v>
      </s:c>
      <s:c r="O119" s="34">
        <s:v>13</s:v>
      </s:c>
      <s:c r="P119" s="39"/>
      <s:c r="R119" s="4" t="s">
        <s:v>26</s:v>
      </s:c>
      <s:c r="S119" s="4">
        <s:v>117</s:v>
      </s:c>
      <s:c r="T119" s="34">
        <s:v>13</s:v>
      </s:c>
      <s:c r="W119" s="4" t="s">
        <s:v>26</s:v>
      </s:c>
      <s:c r="X119" s="4">
        <s:v>117</s:v>
      </s:c>
      <s:c r="Y119" s="9">
        <s:f>Y118+1/3</s:f>
        <s:v>39.666666666666671</s:v>
      </s:c>
      <s:c r="AB119" s="4" t="s">
        <s:v>26</s:v>
      </s:c>
      <s:c r="AC119" s="4">
        <s:v>117</s:v>
      </s:c>
      <s:c r="AD119" s="9">
        <s:f>AD118+1/3</s:f>
        <s:v>39.666666666666671</s:v>
      </s:c>
      <s:c r="AG119" s="4" t="s">
        <s:v>26</s:v>
      </s:c>
      <s:c r="AH119" s="4">
        <s:v>117</s:v>
      </s:c>
      <s:c r="AI119" s="9">
        <s:f>AI118+1/3</s:f>
        <s:v>39.666666666666671</s:v>
      </s:c>
      <s:c r="AL119" s="4" t="s">
        <s:v>26</s:v>
      </s:c>
      <s:c r="AM119" s="4">
        <s:v>117</s:v>
      </s:c>
      <s:c r="AN119" s="9">
        <s:f>AN118+1/3</s:f>
        <s:v>39.666666666666671</s:v>
      </s:c>
      <s:c r="AQ119" s="4" t="s">
        <s:v>26</s:v>
      </s:c>
      <s:c r="AR119" s="4">
        <s:v>117</s:v>
      </s:c>
      <s:c r="AS119" s="9">
        <s:f>AS118+1/3</s:f>
        <s:v>39.666666666666671</s:v>
      </s:c>
      <s:c r="AW119" s="4" t="s">
        <s:v>26</s:v>
      </s:c>
      <s:c r="AX119" s="4">
        <s:v>117</s:v>
      </s:c>
      <s:c r="AY119" s="9">
        <s:f>AY118+1/3</s:f>
        <s:v>39.666666666666671</s:v>
      </s:c>
    </s:row>
    <s:row r="120">
      <s:c r="M120" s="4" t="s">
        <s:v>26</s:v>
      </s:c>
      <s:c r="N120" s="4">
        <s:v>118</s:v>
      </s:c>
      <s:c r="O120" s="34">
        <s:v>14</s:v>
      </s:c>
      <s:c r="P120" s="11"/>
      <s:c r="R120" s="4" t="s">
        <s:v>26</s:v>
      </s:c>
      <s:c r="S120" s="4">
        <s:v>118</s:v>
      </s:c>
      <s:c r="T120" s="34">
        <s:v>14</s:v>
      </s:c>
      <s:c r="W120" s="4" t="s">
        <s:v>26</s:v>
      </s:c>
      <s:c r="X120" s="4">
        <s:v>118</s:v>
      </s:c>
      <s:c r="Y120" s="9">
        <s:f>Y119+1/3</s:f>
        <s:v>40.000000000000007</s:v>
      </s:c>
      <s:c r="AB120" s="4" t="s">
        <s:v>26</s:v>
      </s:c>
      <s:c r="AC120" s="4">
        <s:v>118</s:v>
      </s:c>
      <s:c r="AD120" s="9">
        <s:f>AD119+1/3</s:f>
        <s:v>40.000000000000007</s:v>
      </s:c>
      <s:c r="AG120" s="4" t="s">
        <s:v>26</s:v>
      </s:c>
      <s:c r="AH120" s="4">
        <s:v>118</s:v>
      </s:c>
      <s:c r="AI120" s="9">
        <s:f>AI119+1/3</s:f>
        <s:v>40.000000000000007</s:v>
      </s:c>
      <s:c r="AL120" s="4" t="s">
        <s:v>26</s:v>
      </s:c>
      <s:c r="AM120" s="4">
        <s:v>118</s:v>
      </s:c>
      <s:c r="AN120" s="9">
        <s:f>AN119+1/3</s:f>
        <s:v>40.000000000000007</s:v>
      </s:c>
      <s:c r="AQ120" s="4" t="s">
        <s:v>26</s:v>
      </s:c>
      <s:c r="AR120" s="4">
        <s:v>118</s:v>
      </s:c>
      <s:c r="AS120" s="9">
        <s:f>AS119+1/3</s:f>
        <s:v>40.000000000000007</s:v>
      </s:c>
      <s:c r="AW120" s="4" t="s">
        <s:v>26</s:v>
      </s:c>
      <s:c r="AX120" s="4">
        <s:v>118</s:v>
      </s:c>
      <s:c r="AY120" s="9">
        <s:f>AY119+1/3</s:f>
        <s:v>40.000000000000007</s:v>
      </s:c>
    </s:row>
    <s:row r="121">
      <s:c r="M121" s="4" t="s">
        <s:v>26</s:v>
      </s:c>
      <s:c r="N121" s="4">
        <s:v>119</s:v>
      </s:c>
      <s:c r="O121" s="34">
        <s:v>14</s:v>
      </s:c>
      <s:c r="P121" s="11"/>
      <s:c r="R121" s="4" t="s">
        <s:v>26</s:v>
      </s:c>
      <s:c r="S121" s="4">
        <s:v>119</s:v>
      </s:c>
      <s:c r="T121" s="34">
        <s:v>14</s:v>
      </s:c>
      <s:c r="W121" s="4" t="s">
        <s:v>26</s:v>
      </s:c>
      <s:c r="X121" s="4">
        <s:v>119</s:v>
      </s:c>
      <s:c r="Y121" s="9">
        <s:f>Y120+1/3</s:f>
        <s:v>40.333333333333343</s:v>
      </s:c>
      <s:c r="AB121" s="4" t="s">
        <s:v>26</s:v>
      </s:c>
      <s:c r="AC121" s="4">
        <s:v>119</s:v>
      </s:c>
      <s:c r="AD121" s="9">
        <s:f>AD120+1/3</s:f>
        <s:v>40.333333333333343</s:v>
      </s:c>
      <s:c r="AG121" s="4" t="s">
        <s:v>26</s:v>
      </s:c>
      <s:c r="AH121" s="4">
        <s:v>119</s:v>
      </s:c>
      <s:c r="AI121" s="9">
        <s:f>AI120+1/3</s:f>
        <s:v>40.333333333333343</s:v>
      </s:c>
      <s:c r="AL121" s="4" t="s">
        <s:v>26</s:v>
      </s:c>
      <s:c r="AM121" s="4">
        <s:v>119</s:v>
      </s:c>
      <s:c r="AN121" s="9">
        <s:f>AN120+1/3</s:f>
        <s:v>40.333333333333343</s:v>
      </s:c>
      <s:c r="AQ121" s="4" t="s">
        <s:v>26</s:v>
      </s:c>
      <s:c r="AR121" s="4">
        <s:v>119</s:v>
      </s:c>
      <s:c r="AS121" s="9">
        <s:f>AS120+1/3</s:f>
        <s:v>40.333333333333343</s:v>
      </s:c>
      <s:c r="AW121" s="4" t="s">
        <s:v>26</s:v>
      </s:c>
      <s:c r="AX121" s="4">
        <s:v>119</s:v>
      </s:c>
      <s:c r="AY121" s="9">
        <s:f>AY120+1/3</s:f>
        <s:v>40.333333333333343</s:v>
      </s:c>
    </s:row>
    <s:row r="122">
      <s:c r="M122" s="4" t="s">
        <s:v>26</s:v>
      </s:c>
      <s:c r="N122" s="4">
        <s:v>120</s:v>
      </s:c>
      <s:c r="O122" s="34">
        <s:v>14</s:v>
      </s:c>
      <s:c r="P122" s="11"/>
      <s:c r="R122" s="4" t="s">
        <s:v>26</s:v>
      </s:c>
      <s:c r="S122" s="4">
        <s:v>120</s:v>
      </s:c>
      <s:c r="T122" s="34">
        <s:v>14</s:v>
      </s:c>
      <s:c r="W122" s="4" t="s">
        <s:v>26</s:v>
      </s:c>
      <s:c r="X122" s="4">
        <s:v>120</s:v>
      </s:c>
      <s:c r="Y122" s="9">
        <s:f>Y121+1/3</s:f>
        <s:v>40.666666666666679</s:v>
      </s:c>
      <s:c r="AB122" s="4" t="s">
        <s:v>26</s:v>
      </s:c>
      <s:c r="AC122" s="4">
        <s:v>120</s:v>
      </s:c>
      <s:c r="AD122" s="9">
        <s:f>AD121+1/3</s:f>
        <s:v>40.666666666666679</s:v>
      </s:c>
      <s:c r="AG122" s="4" t="s">
        <s:v>26</s:v>
      </s:c>
      <s:c r="AH122" s="4">
        <s:v>120</s:v>
      </s:c>
      <s:c r="AI122" s="9">
        <s:f>AI121+1/3</s:f>
        <s:v>40.666666666666679</s:v>
      </s:c>
      <s:c r="AL122" s="4" t="s">
        <s:v>26</s:v>
      </s:c>
      <s:c r="AM122" s="4">
        <s:v>120</s:v>
      </s:c>
      <s:c r="AN122" s="9">
        <s:f>AN121+1/3</s:f>
        <s:v>40.666666666666679</s:v>
      </s:c>
      <s:c r="AQ122" s="4" t="s">
        <s:v>26</s:v>
      </s:c>
      <s:c r="AR122" s="4">
        <s:v>120</s:v>
      </s:c>
      <s:c r="AS122" s="9">
        <s:f>AS121+1/3</s:f>
        <s:v>40.666666666666679</s:v>
      </s:c>
      <s:c r="AW122" s="4" t="s">
        <s:v>26</s:v>
      </s:c>
      <s:c r="AX122" s="4">
        <s:v>120</s:v>
      </s:c>
      <s:c r="AY122" s="9">
        <s:f>AY121+1/3</s:f>
        <s:v>40.666666666666679</s:v>
      </s:c>
    </s:row>
    <s:row r="123">
      <s:c r="M123" s="4" t="s">
        <s:v>26</s:v>
      </s:c>
      <s:c r="N123" s="4">
        <s:v>121</s:v>
      </s:c>
      <s:c r="O123" s="34">
        <s:v>14</s:v>
      </s:c>
      <s:c r="P123" s="11"/>
      <s:c r="R123" s="4" t="s">
        <s:v>26</s:v>
      </s:c>
      <s:c r="S123" s="4">
        <s:v>121</s:v>
      </s:c>
      <s:c r="T123" s="34">
        <s:v>14</s:v>
      </s:c>
      <s:c r="W123" s="4" t="s">
        <s:v>26</s:v>
      </s:c>
      <s:c r="X123" s="4">
        <s:v>121</s:v>
      </s:c>
      <s:c r="Y123" s="9">
        <s:f>Y122+1/3</s:f>
        <s:v>41.000000000000014</s:v>
      </s:c>
      <s:c r="AB123" s="4" t="s">
        <s:v>26</s:v>
      </s:c>
      <s:c r="AC123" s="4">
        <s:v>121</s:v>
      </s:c>
      <s:c r="AD123" s="9">
        <s:f>AD122+1/3</s:f>
        <s:v>41.000000000000014</s:v>
      </s:c>
      <s:c r="AG123" s="4" t="s">
        <s:v>26</s:v>
      </s:c>
      <s:c r="AH123" s="4">
        <s:v>121</s:v>
      </s:c>
      <s:c r="AI123" s="9">
        <s:f>AI122+1/3</s:f>
        <s:v>41.000000000000014</s:v>
      </s:c>
      <s:c r="AL123" s="4" t="s">
        <s:v>26</s:v>
      </s:c>
      <s:c r="AM123" s="4">
        <s:v>121</s:v>
      </s:c>
      <s:c r="AN123" s="9">
        <s:f>AN122+1/3</s:f>
        <s:v>41.000000000000014</s:v>
      </s:c>
      <s:c r="AQ123" s="4" t="s">
        <s:v>26</s:v>
      </s:c>
      <s:c r="AR123" s="4">
        <s:v>121</s:v>
      </s:c>
      <s:c r="AS123" s="9">
        <s:f>AS122+1/3</s:f>
        <s:v>41.000000000000014</s:v>
      </s:c>
      <s:c r="AW123" s="4" t="s">
        <s:v>26</s:v>
      </s:c>
      <s:c r="AX123" s="4">
        <s:v>121</s:v>
      </s:c>
      <s:c r="AY123" s="9">
        <s:f>AY122+1/3</s:f>
        <s:v>41.000000000000014</s:v>
      </s:c>
    </s:row>
    <s:row r="124">
      <s:c r="M124" s="4" t="s">
        <s:v>26</s:v>
      </s:c>
      <s:c r="N124" s="4">
        <s:v>122</s:v>
      </s:c>
      <s:c r="O124" s="34">
        <s:v>14</s:v>
      </s:c>
      <s:c r="P124" s="11"/>
      <s:c r="R124" s="4" t="s">
        <s:v>26</s:v>
      </s:c>
      <s:c r="S124" s="4">
        <s:v>122</s:v>
      </s:c>
      <s:c r="T124" s="34">
        <s:v>14</s:v>
      </s:c>
      <s:c r="W124" s="4" t="s">
        <s:v>26</s:v>
      </s:c>
      <s:c r="X124" s="4">
        <s:v>122</s:v>
      </s:c>
      <s:c r="Y124" s="9">
        <s:f>Y123+1/3</s:f>
        <s:v>41.33333333333335</s:v>
      </s:c>
      <s:c r="AB124" s="4" t="s">
        <s:v>26</s:v>
      </s:c>
      <s:c r="AC124" s="4">
        <s:v>122</s:v>
      </s:c>
      <s:c r="AD124" s="9">
        <s:f>AD123+1/3</s:f>
        <s:v>41.33333333333335</s:v>
      </s:c>
      <s:c r="AG124" s="4" t="s">
        <s:v>26</s:v>
      </s:c>
      <s:c r="AH124" s="4">
        <s:v>122</s:v>
      </s:c>
      <s:c r="AI124" s="9">
        <s:f>AI123+1/3</s:f>
        <s:v>41.33333333333335</s:v>
      </s:c>
      <s:c r="AL124" s="4" t="s">
        <s:v>26</s:v>
      </s:c>
      <s:c r="AM124" s="4">
        <s:v>122</s:v>
      </s:c>
      <s:c r="AN124" s="9">
        <s:f>AN123+1/3</s:f>
        <s:v>41.33333333333335</s:v>
      </s:c>
      <s:c r="AQ124" s="4" t="s">
        <s:v>26</s:v>
      </s:c>
      <s:c r="AR124" s="4">
        <s:v>122</s:v>
      </s:c>
      <s:c r="AS124" s="9">
        <s:f>AS123+1/3</s:f>
        <s:v>41.33333333333335</s:v>
      </s:c>
      <s:c r="AW124" s="4" t="s">
        <s:v>26</s:v>
      </s:c>
      <s:c r="AX124" s="4">
        <s:v>122</s:v>
      </s:c>
      <s:c r="AY124" s="9">
        <s:f>AY123+1/3</s:f>
        <s:v>41.33333333333335</s:v>
      </s:c>
    </s:row>
    <s:row r="125">
      <s:c r="M125" s="4" t="s">
        <s:v>26</s:v>
      </s:c>
      <s:c r="N125" s="4">
        <s:v>123</s:v>
      </s:c>
      <s:c r="O125" s="34">
        <s:v>14</s:v>
      </s:c>
      <s:c r="P125" s="11"/>
      <s:c r="R125" s="4" t="s">
        <s:v>26</s:v>
      </s:c>
      <s:c r="S125" s="4">
        <s:v>123</s:v>
      </s:c>
      <s:c r="T125" s="34">
        <s:v>14</s:v>
      </s:c>
      <s:c r="W125" s="4" t="s">
        <s:v>26</s:v>
      </s:c>
      <s:c r="X125" s="4">
        <s:v>123</s:v>
      </s:c>
      <s:c r="Y125" s="9">
        <s:f>Y124+1/3</s:f>
        <s:v>41.666666666666686</s:v>
      </s:c>
      <s:c r="AB125" s="4" t="s">
        <s:v>26</s:v>
      </s:c>
      <s:c r="AC125" s="4">
        <s:v>123</s:v>
      </s:c>
      <s:c r="AD125" s="9">
        <s:f>AD124+1/3</s:f>
        <s:v>41.666666666666686</s:v>
      </s:c>
      <s:c r="AG125" s="4" t="s">
        <s:v>26</s:v>
      </s:c>
      <s:c r="AH125" s="4">
        <s:v>123</s:v>
      </s:c>
      <s:c r="AI125" s="9">
        <s:f>AI124+1/3</s:f>
        <s:v>41.666666666666686</s:v>
      </s:c>
      <s:c r="AL125" s="4" t="s">
        <s:v>26</s:v>
      </s:c>
      <s:c r="AM125" s="4">
        <s:v>123</s:v>
      </s:c>
      <s:c r="AN125" s="9">
        <s:f>AN124+1/3</s:f>
        <s:v>41.666666666666686</s:v>
      </s:c>
      <s:c r="AQ125" s="4" t="s">
        <s:v>26</s:v>
      </s:c>
      <s:c r="AR125" s="4">
        <s:v>123</s:v>
      </s:c>
      <s:c r="AS125" s="9">
        <s:f>AS124+1/3</s:f>
        <s:v>41.666666666666686</s:v>
      </s:c>
      <s:c r="AW125" s="4" t="s">
        <s:v>26</s:v>
      </s:c>
      <s:c r="AX125" s="4">
        <s:v>123</s:v>
      </s:c>
      <s:c r="AY125" s="9">
        <s:f>AY124+1/3</s:f>
        <s:v>41.666666666666686</s:v>
      </s:c>
    </s:row>
    <s:row r="126">
      <s:c r="M126" s="4" t="s">
        <s:v>26</s:v>
      </s:c>
      <s:c r="N126" s="4">
        <s:v>124</s:v>
      </s:c>
      <s:c r="O126" s="34">
        <s:v>14</s:v>
      </s:c>
      <s:c r="P126" s="11"/>
      <s:c r="R126" s="4" t="s">
        <s:v>26</s:v>
      </s:c>
      <s:c r="S126" s="4">
        <s:v>124</s:v>
      </s:c>
      <s:c r="T126" s="34">
        <s:v>14</s:v>
      </s:c>
      <s:c r="W126" s="4" t="s">
        <s:v>26</s:v>
      </s:c>
      <s:c r="X126" s="4">
        <s:v>124</s:v>
      </s:c>
      <s:c r="Y126" s="9">
        <s:f>Y125+1/3</s:f>
        <s:v>42.000000000000021</s:v>
      </s:c>
      <s:c r="AB126" s="4" t="s">
        <s:v>26</s:v>
      </s:c>
      <s:c r="AC126" s="4">
        <s:v>124</s:v>
      </s:c>
      <s:c r="AD126" s="9">
        <s:f>AD125+1/3</s:f>
        <s:v>42.000000000000021</s:v>
      </s:c>
      <s:c r="AG126" s="4" t="s">
        <s:v>26</s:v>
      </s:c>
      <s:c r="AH126" s="4">
        <s:v>124</s:v>
      </s:c>
      <s:c r="AI126" s="9">
        <s:f>AI125+1/3</s:f>
        <s:v>42.000000000000021</s:v>
      </s:c>
      <s:c r="AL126" s="4" t="s">
        <s:v>26</s:v>
      </s:c>
      <s:c r="AM126" s="4">
        <s:v>124</s:v>
      </s:c>
      <s:c r="AN126" s="9">
        <s:f>AN125+1/3</s:f>
        <s:v>42.000000000000021</s:v>
      </s:c>
      <s:c r="AQ126" s="4" t="s">
        <s:v>26</s:v>
      </s:c>
      <s:c r="AR126" s="4">
        <s:v>124</s:v>
      </s:c>
      <s:c r="AS126" s="9">
        <s:f>AS125+1/3</s:f>
        <s:v>42.000000000000021</s:v>
      </s:c>
      <s:c r="AW126" s="4" t="s">
        <s:v>26</s:v>
      </s:c>
      <s:c r="AX126" s="4">
        <s:v>124</s:v>
      </s:c>
      <s:c r="AY126" s="9">
        <s:f>AY125+1/3</s:f>
        <s:v>42.000000000000021</s:v>
      </s:c>
    </s:row>
    <s:row r="127">
      <s:c r="M127" s="4" t="s">
        <s:v>26</s:v>
      </s:c>
      <s:c r="N127" s="4">
        <s:v>125</s:v>
      </s:c>
      <s:c r="O127" s="34">
        <s:v>14</s:v>
      </s:c>
      <s:c r="P127" s="11"/>
      <s:c r="R127" s="4" t="s">
        <s:v>26</s:v>
      </s:c>
      <s:c r="S127" s="4">
        <s:v>125</s:v>
      </s:c>
      <s:c r="T127" s="34">
        <s:v>14</s:v>
      </s:c>
      <s:c r="W127" s="4" t="s">
        <s:v>26</s:v>
      </s:c>
      <s:c r="X127" s="4">
        <s:v>125</s:v>
      </s:c>
      <s:c r="Y127" s="9">
        <s:f>Y126+1/3</s:f>
        <s:v>42.333333333333357</s:v>
      </s:c>
      <s:c r="AB127" s="4" t="s">
        <s:v>26</s:v>
      </s:c>
      <s:c r="AC127" s="4">
        <s:v>125</s:v>
      </s:c>
      <s:c r="AD127" s="9">
        <s:f>AD126+1/3</s:f>
        <s:v>42.333333333333357</s:v>
      </s:c>
      <s:c r="AG127" s="4" t="s">
        <s:v>26</s:v>
      </s:c>
      <s:c r="AH127" s="4">
        <s:v>125</s:v>
      </s:c>
      <s:c r="AI127" s="9">
        <s:f>AI126+1/3</s:f>
        <s:v>42.333333333333357</s:v>
      </s:c>
      <s:c r="AL127" s="4" t="s">
        <s:v>26</s:v>
      </s:c>
      <s:c r="AM127" s="4">
        <s:v>125</s:v>
      </s:c>
      <s:c r="AN127" s="9">
        <s:f>AN126+1/3</s:f>
        <s:v>42.333333333333357</s:v>
      </s:c>
      <s:c r="AQ127" s="4" t="s">
        <s:v>26</s:v>
      </s:c>
      <s:c r="AR127" s="4">
        <s:v>125</s:v>
      </s:c>
      <s:c r="AS127" s="9">
        <s:f>AS126+1/3</s:f>
        <s:v>42.333333333333357</s:v>
      </s:c>
      <s:c r="AW127" s="4" t="s">
        <s:v>26</s:v>
      </s:c>
      <s:c r="AX127" s="4">
        <s:v>125</s:v>
      </s:c>
      <s:c r="AY127" s="9">
        <s:f>AY126+1/3</s:f>
        <s:v>42.333333333333357</s:v>
      </s:c>
    </s:row>
    <s:row r="128">
      <s:c r="M128" s="4" t="s">
        <s:v>26</s:v>
      </s:c>
      <s:c r="N128" s="4">
        <s:v>126</s:v>
      </s:c>
      <s:c r="O128" s="34">
        <s:v>14</s:v>
      </s:c>
      <s:c r="P128" s="11"/>
      <s:c r="R128" s="4" t="s">
        <s:v>26</s:v>
      </s:c>
      <s:c r="S128" s="4">
        <s:v>126</s:v>
      </s:c>
      <s:c r="T128" s="34">
        <s:v>14</s:v>
      </s:c>
      <s:c r="W128" s="4" t="s">
        <s:v>26</s:v>
      </s:c>
      <s:c r="X128" s="4">
        <s:v>126</s:v>
      </s:c>
      <s:c r="Y128" s="9">
        <s:f>Y127+1/3</s:f>
        <s:v>42.666666666666693</s:v>
      </s:c>
      <s:c r="AB128" s="4" t="s">
        <s:v>26</s:v>
      </s:c>
      <s:c r="AC128" s="4">
        <s:v>126</s:v>
      </s:c>
      <s:c r="AD128" s="9">
        <s:f>AD127+1/3</s:f>
        <s:v>42.666666666666693</s:v>
      </s:c>
      <s:c r="AG128" s="4" t="s">
        <s:v>26</s:v>
      </s:c>
      <s:c r="AH128" s="4">
        <s:v>126</s:v>
      </s:c>
      <s:c r="AI128" s="9">
        <s:f>AI127+1/3</s:f>
        <s:v>42.666666666666693</s:v>
      </s:c>
      <s:c r="AL128" s="4" t="s">
        <s:v>26</s:v>
      </s:c>
      <s:c r="AM128" s="4">
        <s:v>126</s:v>
      </s:c>
      <s:c r="AN128" s="9">
        <s:f>AN127+1/3</s:f>
        <s:v>42.666666666666693</s:v>
      </s:c>
      <s:c r="AQ128" s="4" t="s">
        <s:v>26</s:v>
      </s:c>
      <s:c r="AR128" s="4">
        <s:v>126</s:v>
      </s:c>
      <s:c r="AS128" s="9">
        <s:f>AS127+1/3</s:f>
        <s:v>42.666666666666693</s:v>
      </s:c>
      <s:c r="AW128" s="4" t="s">
        <s:v>26</s:v>
      </s:c>
      <s:c r="AX128" s="4">
        <s:v>126</s:v>
      </s:c>
      <s:c r="AY128" s="9">
        <s:f>AY127+1/3</s:f>
        <s:v>42.666666666666693</s:v>
      </s:c>
    </s:row>
    <s:row r="129">
      <s:c r="M129" s="4" t="s">
        <s:v>26</s:v>
      </s:c>
      <s:c r="N129" s="4">
        <s:v>127</s:v>
      </s:c>
      <s:c r="O129" s="34">
        <s:v>15</s:v>
      </s:c>
      <s:c r="P129" s="39"/>
      <s:c r="R129" s="4" t="s">
        <s:v>26</s:v>
      </s:c>
      <s:c r="S129" s="4">
        <s:v>127</s:v>
      </s:c>
      <s:c r="T129" s="34">
        <s:v>15</s:v>
      </s:c>
      <s:c r="W129" s="4" t="s">
        <s:v>26</s:v>
      </s:c>
      <s:c r="X129" s="4">
        <s:v>127</s:v>
      </s:c>
      <s:c r="Y129" s="9">
        <s:f>Y128+1/3</s:f>
        <s:v>43.000000000000028</s:v>
      </s:c>
      <s:c r="AB129" s="4" t="s">
        <s:v>26</s:v>
      </s:c>
      <s:c r="AC129" s="4">
        <s:v>127</s:v>
      </s:c>
      <s:c r="AD129" s="9">
        <s:f>AD128+1/3</s:f>
        <s:v>43.000000000000028</s:v>
      </s:c>
      <s:c r="AG129" s="4" t="s">
        <s:v>26</s:v>
      </s:c>
      <s:c r="AH129" s="4">
        <s:v>127</s:v>
      </s:c>
      <s:c r="AI129" s="9">
        <s:f>AI128+1/3</s:f>
        <s:v>43.000000000000028</s:v>
      </s:c>
      <s:c r="AL129" s="4" t="s">
        <s:v>26</s:v>
      </s:c>
      <s:c r="AM129" s="4">
        <s:v>127</s:v>
      </s:c>
      <s:c r="AN129" s="9">
        <s:f>AN128+1/3</s:f>
        <s:v>43.000000000000028</s:v>
      </s:c>
      <s:c r="AQ129" s="4" t="s">
        <s:v>26</s:v>
      </s:c>
      <s:c r="AR129" s="4">
        <s:v>127</s:v>
      </s:c>
      <s:c r="AS129" s="9">
        <s:f>AS128+1/3</s:f>
        <s:v>43.000000000000028</s:v>
      </s:c>
      <s:c r="AW129" s="4" t="s">
        <s:v>26</s:v>
      </s:c>
      <s:c r="AX129" s="4">
        <s:v>127</s:v>
      </s:c>
      <s:c r="AY129" s="9">
        <s:f>AY128+1/3</s:f>
        <s:v>43.000000000000028</s:v>
      </s:c>
    </s:row>
    <s:row r="130">
      <s:c r="M130" s="4" t="s">
        <s:v>26</s:v>
      </s:c>
      <s:c r="N130" s="4">
        <s:v>128</s:v>
      </s:c>
      <s:c r="O130" s="34">
        <s:v>15</s:v>
      </s:c>
      <s:c r="P130" s="39"/>
      <s:c r="R130" s="4" t="s">
        <s:v>26</s:v>
      </s:c>
      <s:c r="S130" s="4">
        <s:v>128</s:v>
      </s:c>
      <s:c r="T130" s="34">
        <s:v>15</s:v>
      </s:c>
      <s:c r="W130" s="4" t="s">
        <s:v>26</s:v>
      </s:c>
      <s:c r="X130" s="4">
        <s:v>128</s:v>
      </s:c>
      <s:c r="Y130" s="9">
        <s:f>Y129+1/3</s:f>
        <s:v>43.333333333333364</s:v>
      </s:c>
      <s:c r="AB130" s="4" t="s">
        <s:v>26</s:v>
      </s:c>
      <s:c r="AC130" s="4">
        <s:v>128</s:v>
      </s:c>
      <s:c r="AD130" s="9">
        <s:f>AD129+1/3</s:f>
        <s:v>43.333333333333364</s:v>
      </s:c>
      <s:c r="AG130" s="4" t="s">
        <s:v>26</s:v>
      </s:c>
      <s:c r="AH130" s="4">
        <s:v>128</s:v>
      </s:c>
      <s:c r="AI130" s="9">
        <s:f>AI129+1/3</s:f>
        <s:v>43.333333333333364</s:v>
      </s:c>
      <s:c r="AL130" s="4" t="s">
        <s:v>26</s:v>
      </s:c>
      <s:c r="AM130" s="4">
        <s:v>128</s:v>
      </s:c>
      <s:c r="AN130" s="9">
        <s:f>AN129+1/3</s:f>
        <s:v>43.333333333333364</s:v>
      </s:c>
      <s:c r="AQ130" s="4" t="s">
        <s:v>26</s:v>
      </s:c>
      <s:c r="AR130" s="4">
        <s:v>128</s:v>
      </s:c>
      <s:c r="AS130" s="9">
        <s:f>AS129+1/3</s:f>
        <s:v>43.333333333333364</s:v>
      </s:c>
      <s:c r="AW130" s="4" t="s">
        <s:v>26</s:v>
      </s:c>
      <s:c r="AX130" s="4">
        <s:v>128</s:v>
      </s:c>
      <s:c r="AY130" s="9">
        <s:f>AY129+1/3</s:f>
        <s:v>43.333333333333364</s:v>
      </s:c>
    </s:row>
    <s:row r="131">
      <s:c r="M131" s="4" t="s">
        <s:v>26</s:v>
      </s:c>
      <s:c r="N131" s="4">
        <s:v>129</s:v>
      </s:c>
      <s:c r="O131" s="34">
        <s:v>15</s:v>
      </s:c>
      <s:c r="P131" s="39"/>
      <s:c r="R131" s="4" t="s">
        <s:v>26</s:v>
      </s:c>
      <s:c r="S131" s="4">
        <s:v>129</s:v>
      </s:c>
      <s:c r="T131" s="34">
        <s:v>15</s:v>
      </s:c>
      <s:c r="W131" s="4" t="s">
        <s:v>26</s:v>
      </s:c>
      <s:c r="X131" s="4">
        <s:v>129</s:v>
      </s:c>
      <s:c r="Y131" s="9">
        <s:f>Y130+1/3</s:f>
        <s:v>43.6666666666667</s:v>
      </s:c>
      <s:c r="AB131" s="4" t="s">
        <s:v>26</s:v>
      </s:c>
      <s:c r="AC131" s="4">
        <s:v>129</s:v>
      </s:c>
      <s:c r="AD131" s="9">
        <s:f>AD130+1/3</s:f>
        <s:v>43.6666666666667</s:v>
      </s:c>
      <s:c r="AG131" s="4" t="s">
        <s:v>26</s:v>
      </s:c>
      <s:c r="AH131" s="4">
        <s:v>129</s:v>
      </s:c>
      <s:c r="AI131" s="9">
        <s:f>AI130+1/3</s:f>
        <s:v>43.6666666666667</s:v>
      </s:c>
      <s:c r="AL131" s="4" t="s">
        <s:v>26</s:v>
      </s:c>
      <s:c r="AM131" s="4">
        <s:v>129</s:v>
      </s:c>
      <s:c r="AN131" s="9">
        <s:f>AN130+1/3</s:f>
        <s:v>43.6666666666667</s:v>
      </s:c>
      <s:c r="AQ131" s="4" t="s">
        <s:v>26</s:v>
      </s:c>
      <s:c r="AR131" s="4">
        <s:v>129</s:v>
      </s:c>
      <s:c r="AS131" s="9">
        <s:f>AS130+1/3</s:f>
        <s:v>43.6666666666667</s:v>
      </s:c>
      <s:c r="AW131" s="4" t="s">
        <s:v>26</s:v>
      </s:c>
      <s:c r="AX131" s="4">
        <s:v>129</s:v>
      </s:c>
      <s:c r="AY131" s="9">
        <s:f>AY130+1/3</s:f>
        <s:v>43.6666666666667</s:v>
      </s:c>
    </s:row>
    <s:row r="132">
      <s:c r="M132" s="4" t="s">
        <s:v>26</s:v>
      </s:c>
      <s:c r="N132" s="4">
        <s:v>130</s:v>
      </s:c>
      <s:c r="O132" s="34">
        <s:v>15</s:v>
      </s:c>
      <s:c r="P132" s="39"/>
      <s:c r="R132" s="4" t="s">
        <s:v>26</s:v>
      </s:c>
      <s:c r="S132" s="4">
        <s:v>130</s:v>
      </s:c>
      <s:c r="T132" s="34">
        <s:v>15</s:v>
      </s:c>
      <s:c r="W132" s="4" t="s">
        <s:v>26</s:v>
      </s:c>
      <s:c r="X132" s="4">
        <s:v>130</s:v>
      </s:c>
      <s:c r="Y132" s="9">
        <s:f>Y131+1/3</s:f>
        <s:v>44.000000000000036</s:v>
      </s:c>
      <s:c r="AB132" s="4" t="s">
        <s:v>26</s:v>
      </s:c>
      <s:c r="AC132" s="4">
        <s:v>130</s:v>
      </s:c>
      <s:c r="AD132" s="9">
        <s:f>AD131+1/3</s:f>
        <s:v>44.000000000000036</s:v>
      </s:c>
      <s:c r="AG132" s="4" t="s">
        <s:v>26</s:v>
      </s:c>
      <s:c r="AH132" s="4">
        <s:v>130</s:v>
      </s:c>
      <s:c r="AI132" s="9">
        <s:f>AI131+1/3</s:f>
        <s:v>44.000000000000036</s:v>
      </s:c>
      <s:c r="AL132" s="4" t="s">
        <s:v>26</s:v>
      </s:c>
      <s:c r="AM132" s="4">
        <s:v>130</s:v>
      </s:c>
      <s:c r="AN132" s="9">
        <s:f>AN131+1/3</s:f>
        <s:v>44.000000000000036</s:v>
      </s:c>
      <s:c r="AQ132" s="4" t="s">
        <s:v>26</s:v>
      </s:c>
      <s:c r="AR132" s="4">
        <s:v>130</s:v>
      </s:c>
      <s:c r="AS132" s="9">
        <s:f>AS131+1/3</s:f>
        <s:v>44.000000000000036</s:v>
      </s:c>
      <s:c r="AW132" s="4" t="s">
        <s:v>26</s:v>
      </s:c>
      <s:c r="AX132" s="4">
        <s:v>130</s:v>
      </s:c>
      <s:c r="AY132" s="9">
        <s:f>AY131+1/3</s:f>
        <s:v>44.000000000000036</s:v>
      </s:c>
    </s:row>
    <s:row r="133">
      <s:c r="M133" s="4" t="s">
        <s:v>26</s:v>
      </s:c>
      <s:c r="N133" s="4">
        <s:v>131</s:v>
      </s:c>
      <s:c r="O133" s="34">
        <s:v>15</s:v>
      </s:c>
      <s:c r="P133" s="39"/>
      <s:c r="R133" s="4" t="s">
        <s:v>26</s:v>
      </s:c>
      <s:c r="S133" s="4">
        <s:v>131</s:v>
      </s:c>
      <s:c r="T133" s="34">
        <s:v>15</s:v>
      </s:c>
      <s:c r="W133" s="4" t="s">
        <s:v>26</s:v>
      </s:c>
      <s:c r="X133" s="4">
        <s:v>131</s:v>
      </s:c>
      <s:c r="Y133" s="9">
        <s:f>Y132+1/3</s:f>
        <s:v>44.333333333333371</s:v>
      </s:c>
      <s:c r="AB133" s="4" t="s">
        <s:v>26</s:v>
      </s:c>
      <s:c r="AC133" s="4">
        <s:v>131</s:v>
      </s:c>
      <s:c r="AD133" s="9">
        <s:f>AD132+1/3</s:f>
        <s:v>44.333333333333371</s:v>
      </s:c>
      <s:c r="AG133" s="4" t="s">
        <s:v>26</s:v>
      </s:c>
      <s:c r="AH133" s="4">
        <s:v>131</s:v>
      </s:c>
      <s:c r="AI133" s="9">
        <s:f>AI132+1/3</s:f>
        <s:v>44.333333333333371</s:v>
      </s:c>
      <s:c r="AL133" s="4" t="s">
        <s:v>26</s:v>
      </s:c>
      <s:c r="AM133" s="4">
        <s:v>131</s:v>
      </s:c>
      <s:c r="AN133" s="9">
        <s:f>AN132+1/3</s:f>
        <s:v>44.333333333333371</s:v>
      </s:c>
      <s:c r="AQ133" s="4" t="s">
        <s:v>26</s:v>
      </s:c>
      <s:c r="AR133" s="4">
        <s:v>131</s:v>
      </s:c>
      <s:c r="AS133" s="9">
        <s:f>AS132+1/3</s:f>
        <s:v>44.333333333333371</s:v>
      </s:c>
      <s:c r="AW133" s="4" t="s">
        <s:v>26</s:v>
      </s:c>
      <s:c r="AX133" s="4">
        <s:v>131</s:v>
      </s:c>
      <s:c r="AY133" s="9">
        <s:f>AY132+1/3</s:f>
        <s:v>44.333333333333371</s:v>
      </s:c>
    </s:row>
    <s:row r="134">
      <s:c r="M134" s="4" t="s">
        <s:v>26</s:v>
      </s:c>
      <s:c r="N134" s="4">
        <s:v>132</s:v>
      </s:c>
      <s:c r="O134" s="34">
        <s:v>15</s:v>
      </s:c>
      <s:c r="P134" s="39"/>
      <s:c r="R134" s="4" t="s">
        <s:v>26</s:v>
      </s:c>
      <s:c r="S134" s="4">
        <s:v>132</s:v>
      </s:c>
      <s:c r="T134" s="34">
        <s:v>15</s:v>
      </s:c>
      <s:c r="W134" s="4" t="s">
        <s:v>26</s:v>
      </s:c>
      <s:c r="X134" s="4">
        <s:v>132</s:v>
      </s:c>
      <s:c r="Y134" s="9">
        <s:f>Y133+1/3</s:f>
        <s:v>44.666666666666707</s:v>
      </s:c>
      <s:c r="AB134" s="4" t="s">
        <s:v>26</s:v>
      </s:c>
      <s:c r="AC134" s="4">
        <s:v>132</s:v>
      </s:c>
      <s:c r="AD134" s="9">
        <s:f>AD133+1/3</s:f>
        <s:v>44.666666666666707</s:v>
      </s:c>
      <s:c r="AG134" s="4" t="s">
        <s:v>26</s:v>
      </s:c>
      <s:c r="AH134" s="4">
        <s:v>132</s:v>
      </s:c>
      <s:c r="AI134" s="9">
        <s:f>AI133+1/3</s:f>
        <s:v>44.666666666666707</s:v>
      </s:c>
      <s:c r="AL134" s="4" t="s">
        <s:v>26</s:v>
      </s:c>
      <s:c r="AM134" s="4">
        <s:v>132</s:v>
      </s:c>
      <s:c r="AN134" s="9">
        <s:f>AN133+1/3</s:f>
        <s:v>44.666666666666707</s:v>
      </s:c>
      <s:c r="AQ134" s="4" t="s">
        <s:v>26</s:v>
      </s:c>
      <s:c r="AR134" s="4">
        <s:v>132</s:v>
      </s:c>
      <s:c r="AS134" s="9">
        <s:f>AS133+1/3</s:f>
        <s:v>44.666666666666707</s:v>
      </s:c>
      <s:c r="AW134" s="4" t="s">
        <s:v>26</s:v>
      </s:c>
      <s:c r="AX134" s="4">
        <s:v>132</s:v>
      </s:c>
      <s:c r="AY134" s="9">
        <s:f>AY133+1/3</s:f>
        <s:v>44.666666666666707</s:v>
      </s:c>
    </s:row>
    <s:row r="135">
      <s:c r="M135" s="4" t="s">
        <s:v>26</s:v>
      </s:c>
      <s:c r="N135" s="4">
        <s:v>133</s:v>
      </s:c>
      <s:c r="O135" s="34">
        <s:v>15</s:v>
      </s:c>
      <s:c r="P135" s="39"/>
      <s:c r="R135" s="4" t="s">
        <s:v>26</s:v>
      </s:c>
      <s:c r="S135" s="4">
        <s:v>133</s:v>
      </s:c>
      <s:c r="T135" s="34">
        <s:v>15</s:v>
      </s:c>
      <s:c r="W135" s="4" t="s">
        <s:v>26</s:v>
      </s:c>
      <s:c r="X135" s="4">
        <s:v>133</s:v>
      </s:c>
      <s:c r="Y135" s="9">
        <s:f>Y134+1/3</s:f>
        <s:v>45.000000000000043</s:v>
      </s:c>
      <s:c r="AB135" s="4" t="s">
        <s:v>26</s:v>
      </s:c>
      <s:c r="AC135" s="4">
        <s:v>133</s:v>
      </s:c>
      <s:c r="AD135" s="9">
        <s:f>AD134+1/3</s:f>
        <s:v>45.000000000000043</s:v>
      </s:c>
      <s:c r="AG135" s="4" t="s">
        <s:v>26</s:v>
      </s:c>
      <s:c r="AH135" s="4">
        <s:v>133</s:v>
      </s:c>
      <s:c r="AI135" s="9">
        <s:f>AI134+1/3</s:f>
        <s:v>45.000000000000043</s:v>
      </s:c>
      <s:c r="AL135" s="4" t="s">
        <s:v>26</s:v>
      </s:c>
      <s:c r="AM135" s="4">
        <s:v>133</s:v>
      </s:c>
      <s:c r="AN135" s="9">
        <s:f>AN134+1/3</s:f>
        <s:v>45.000000000000043</s:v>
      </s:c>
      <s:c r="AQ135" s="4" t="s">
        <s:v>26</s:v>
      </s:c>
      <s:c r="AR135" s="4">
        <s:v>133</s:v>
      </s:c>
      <s:c r="AS135" s="9">
        <s:f>AS134+1/3</s:f>
        <s:v>45.000000000000043</s:v>
      </s:c>
      <s:c r="AW135" s="4" t="s">
        <s:v>26</s:v>
      </s:c>
      <s:c r="AX135" s="4">
        <s:v>133</s:v>
      </s:c>
      <s:c r="AY135" s="9">
        <s:f>AY134+1/3</s:f>
        <s:v>45.000000000000043</s:v>
      </s:c>
    </s:row>
    <s:row r="136">
      <s:c r="M136" s="4" t="s">
        <s:v>26</s:v>
      </s:c>
      <s:c r="N136" s="4">
        <s:v>134</s:v>
      </s:c>
      <s:c r="O136" s="34">
        <s:v>15</s:v>
      </s:c>
      <s:c r="P136" s="39"/>
      <s:c r="R136" s="4" t="s">
        <s:v>26</s:v>
      </s:c>
      <s:c r="S136" s="4">
        <s:v>134</s:v>
      </s:c>
      <s:c r="T136" s="34">
        <s:v>15</s:v>
      </s:c>
      <s:c r="W136" s="4" t="s">
        <s:v>26</s:v>
      </s:c>
      <s:c r="X136" s="4">
        <s:v>134</s:v>
      </s:c>
      <s:c r="Y136" s="9">
        <s:f>Y135+1/3</s:f>
        <s:v>45.333333333333378</s:v>
      </s:c>
      <s:c r="AB136" s="4" t="s">
        <s:v>26</s:v>
      </s:c>
      <s:c r="AC136" s="4">
        <s:v>134</s:v>
      </s:c>
      <s:c r="AD136" s="9">
        <s:f>AD135+1/3</s:f>
        <s:v>45.333333333333378</s:v>
      </s:c>
      <s:c r="AG136" s="4" t="s">
        <s:v>26</s:v>
      </s:c>
      <s:c r="AH136" s="4">
        <s:v>134</s:v>
      </s:c>
      <s:c r="AI136" s="9">
        <s:f>AI135+1/3</s:f>
        <s:v>45.333333333333378</s:v>
      </s:c>
      <s:c r="AL136" s="4" t="s">
        <s:v>26</s:v>
      </s:c>
      <s:c r="AM136" s="4">
        <s:v>134</s:v>
      </s:c>
      <s:c r="AN136" s="9">
        <s:f>AN135+1/3</s:f>
        <s:v>45.333333333333378</s:v>
      </s:c>
      <s:c r="AQ136" s="4" t="s">
        <s:v>26</s:v>
      </s:c>
      <s:c r="AR136" s="4">
        <s:v>134</s:v>
      </s:c>
      <s:c r="AS136" s="9">
        <s:f>AS135+1/3</s:f>
        <s:v>45.333333333333378</s:v>
      </s:c>
      <s:c r="AW136" s="4" t="s">
        <s:v>26</s:v>
      </s:c>
      <s:c r="AX136" s="4">
        <s:v>134</s:v>
      </s:c>
      <s:c r="AY136" s="9">
        <s:f>AY135+1/3</s:f>
        <s:v>45.333333333333378</s:v>
      </s:c>
    </s:row>
    <s:row r="137">
      <s:c r="M137" s="4" t="s">
        <s:v>26</s:v>
      </s:c>
      <s:c r="N137" s="4">
        <s:v>135</s:v>
      </s:c>
      <s:c r="O137" s="34">
        <s:v>15</s:v>
      </s:c>
      <s:c r="P137" s="39"/>
      <s:c r="R137" s="4" t="s">
        <s:v>26</s:v>
      </s:c>
      <s:c r="S137" s="4">
        <s:v>135</s:v>
      </s:c>
      <s:c r="T137" s="34">
        <s:v>15</s:v>
      </s:c>
      <s:c r="W137" s="4" t="s">
        <s:v>26</s:v>
      </s:c>
      <s:c r="X137" s="4">
        <s:v>135</s:v>
      </s:c>
      <s:c r="Y137" s="9">
        <s:f>Y136+1/3</s:f>
        <s:v>45.666666666666714</s:v>
      </s:c>
      <s:c r="AB137" s="4" t="s">
        <s:v>26</s:v>
      </s:c>
      <s:c r="AC137" s="4">
        <s:v>135</s:v>
      </s:c>
      <s:c r="AD137" s="9">
        <s:f>AD136+1/3</s:f>
        <s:v>45.666666666666714</s:v>
      </s:c>
      <s:c r="AG137" s="4" t="s">
        <s:v>26</s:v>
      </s:c>
      <s:c r="AH137" s="4">
        <s:v>135</s:v>
      </s:c>
      <s:c r="AI137" s="9">
        <s:f>AI136+1/3</s:f>
        <s:v>45.666666666666714</s:v>
      </s:c>
      <s:c r="AL137" s="4" t="s">
        <s:v>26</s:v>
      </s:c>
      <s:c r="AM137" s="4">
        <s:v>135</s:v>
      </s:c>
      <s:c r="AN137" s="9">
        <s:f>AN136+1/3</s:f>
        <s:v>45.666666666666714</s:v>
      </s:c>
      <s:c r="AQ137" s="4" t="s">
        <s:v>26</s:v>
      </s:c>
      <s:c r="AR137" s="4">
        <s:v>135</s:v>
      </s:c>
      <s:c r="AS137" s="9">
        <s:f>AS136+1/3</s:f>
        <s:v>45.666666666666714</s:v>
      </s:c>
      <s:c r="AW137" s="4" t="s">
        <s:v>26</s:v>
      </s:c>
      <s:c r="AX137" s="4">
        <s:v>135</s:v>
      </s:c>
      <s:c r="AY137" s="9">
        <s:f>AY136+1/3</s:f>
        <s:v>45.666666666666714</s:v>
      </s:c>
    </s:row>
    <s:row r="138">
      <s:c r="M138" s="4" t="s">
        <s:v>26</s:v>
      </s:c>
      <s:c r="N138" s="4">
        <s:v>136</s:v>
      </s:c>
      <s:c r="O138" s="34">
        <s:v>16</s:v>
      </s:c>
      <s:c r="P138" s="11"/>
      <s:c r="R138" s="4" t="s">
        <s:v>26</s:v>
      </s:c>
      <s:c r="S138" s="4">
        <s:v>136</s:v>
      </s:c>
      <s:c r="T138" s="34">
        <s:v>16</s:v>
      </s:c>
      <s:c r="W138" s="4" t="s">
        <s:v>26</s:v>
      </s:c>
      <s:c r="X138" s="4">
        <s:v>136</s:v>
      </s:c>
      <s:c r="Y138" s="9">
        <s:f>Y137+1/3</s:f>
        <s:v>46.00000000000005</s:v>
      </s:c>
      <s:c r="AB138" s="4" t="s">
        <s:v>26</s:v>
      </s:c>
      <s:c r="AC138" s="4">
        <s:v>136</s:v>
      </s:c>
      <s:c r="AD138" s="9">
        <s:f>AD137+1/3</s:f>
        <s:v>46.00000000000005</s:v>
      </s:c>
      <s:c r="AG138" s="4" t="s">
        <s:v>26</s:v>
      </s:c>
      <s:c r="AH138" s="4">
        <s:v>136</s:v>
      </s:c>
      <s:c r="AI138" s="9">
        <s:f>AI137+1/3</s:f>
        <s:v>46.00000000000005</s:v>
      </s:c>
      <s:c r="AL138" s="4" t="s">
        <s:v>26</s:v>
      </s:c>
      <s:c r="AM138" s="4">
        <s:v>136</s:v>
      </s:c>
      <s:c r="AN138" s="9">
        <s:f>AN137+1/3</s:f>
        <s:v>46.00000000000005</s:v>
      </s:c>
      <s:c r="AQ138" s="4" t="s">
        <s:v>26</s:v>
      </s:c>
      <s:c r="AR138" s="4">
        <s:v>136</s:v>
      </s:c>
      <s:c r="AS138" s="9">
        <s:f>AS137+1/3</s:f>
        <s:v>46.00000000000005</s:v>
      </s:c>
      <s:c r="AW138" s="4" t="s">
        <s:v>26</s:v>
      </s:c>
      <s:c r="AX138" s="4">
        <s:v>136</s:v>
      </s:c>
      <s:c r="AY138" s="9">
        <s:f>AY137+1/3</s:f>
        <s:v>46.00000000000005</s:v>
      </s:c>
    </s:row>
    <s:row r="139">
      <s:c r="M139" s="4" t="s">
        <s:v>26</s:v>
      </s:c>
      <s:c r="N139" s="4">
        <s:v>137</s:v>
      </s:c>
      <s:c r="O139" s="34">
        <s:v>16</s:v>
      </s:c>
      <s:c r="P139" s="11"/>
      <s:c r="R139" s="4" t="s">
        <s:v>26</s:v>
      </s:c>
      <s:c r="S139" s="4">
        <s:v>137</s:v>
      </s:c>
      <s:c r="T139" s="34">
        <s:v>16</s:v>
      </s:c>
      <s:c r="W139" s="4" t="s">
        <s:v>26</s:v>
      </s:c>
      <s:c r="X139" s="4">
        <s:v>137</s:v>
      </s:c>
      <s:c r="Y139" s="9">
        <s:f>Y138+1/3</s:f>
        <s:v>46.333333333333385</s:v>
      </s:c>
      <s:c r="AB139" s="4" t="s">
        <s:v>26</s:v>
      </s:c>
      <s:c r="AC139" s="4">
        <s:v>137</s:v>
      </s:c>
      <s:c r="AD139" s="9">
        <s:f>AD138+1/3</s:f>
        <s:v>46.333333333333385</s:v>
      </s:c>
      <s:c r="AG139" s="4" t="s">
        <s:v>26</s:v>
      </s:c>
      <s:c r="AH139" s="4">
        <s:v>137</s:v>
      </s:c>
      <s:c r="AI139" s="9">
        <s:f>AI138+1/3</s:f>
        <s:v>46.333333333333385</s:v>
      </s:c>
      <s:c r="AL139" s="4" t="s">
        <s:v>26</s:v>
      </s:c>
      <s:c r="AM139" s="4">
        <s:v>137</s:v>
      </s:c>
      <s:c r="AN139" s="9">
        <s:f>AN138+1/3</s:f>
        <s:v>46.333333333333385</s:v>
      </s:c>
      <s:c r="AQ139" s="4" t="s">
        <s:v>26</s:v>
      </s:c>
      <s:c r="AR139" s="4">
        <s:v>137</s:v>
      </s:c>
      <s:c r="AS139" s="9">
        <s:f>AS138+1/3</s:f>
        <s:v>46.333333333333385</s:v>
      </s:c>
      <s:c r="AW139" s="4" t="s">
        <s:v>26</s:v>
      </s:c>
      <s:c r="AX139" s="4">
        <s:v>137</s:v>
      </s:c>
      <s:c r="AY139" s="9">
        <s:f>AY138+1/3</s:f>
        <s:v>46.333333333333385</s:v>
      </s:c>
    </s:row>
    <s:row r="140">
      <s:c r="M140" s="4" t="s">
        <s:v>26</s:v>
      </s:c>
      <s:c r="N140" s="4">
        <s:v>138</s:v>
      </s:c>
      <s:c r="O140" s="34">
        <s:v>16</s:v>
      </s:c>
      <s:c r="P140" s="11"/>
      <s:c r="R140" s="4" t="s">
        <s:v>26</s:v>
      </s:c>
      <s:c r="S140" s="4">
        <s:v>138</s:v>
      </s:c>
      <s:c r="T140" s="34">
        <s:v>16</s:v>
      </s:c>
      <s:c r="W140" s="4" t="s">
        <s:v>26</s:v>
      </s:c>
      <s:c r="X140" s="4">
        <s:v>138</s:v>
      </s:c>
      <s:c r="Y140" s="9">
        <s:f>Y139+1/3</s:f>
        <s:v>46.666666666666721</s:v>
      </s:c>
      <s:c r="AB140" s="4" t="s">
        <s:v>26</s:v>
      </s:c>
      <s:c r="AC140" s="4">
        <s:v>138</s:v>
      </s:c>
      <s:c r="AD140" s="9">
        <s:f>AD139+1/3</s:f>
        <s:v>46.666666666666721</s:v>
      </s:c>
      <s:c r="AG140" s="4" t="s">
        <s:v>26</s:v>
      </s:c>
      <s:c r="AH140" s="4">
        <s:v>138</s:v>
      </s:c>
      <s:c r="AI140" s="9">
        <s:f>AI139+1/3</s:f>
        <s:v>46.666666666666721</s:v>
      </s:c>
      <s:c r="AL140" s="4" t="s">
        <s:v>26</s:v>
      </s:c>
      <s:c r="AM140" s="4">
        <s:v>138</s:v>
      </s:c>
      <s:c r="AN140" s="9">
        <s:f>AN139+1/3</s:f>
        <s:v>46.666666666666721</s:v>
      </s:c>
      <s:c r="AQ140" s="4" t="s">
        <s:v>26</s:v>
      </s:c>
      <s:c r="AR140" s="4">
        <s:v>138</s:v>
      </s:c>
      <s:c r="AS140" s="9">
        <s:f>AS139+1/3</s:f>
        <s:v>46.666666666666721</s:v>
      </s:c>
      <s:c r="AW140" s="4" t="s">
        <s:v>26</s:v>
      </s:c>
      <s:c r="AX140" s="4">
        <s:v>138</s:v>
      </s:c>
      <s:c r="AY140" s="9">
        <s:f>AY139+1/3</s:f>
        <s:v>46.666666666666721</s:v>
      </s:c>
    </s:row>
    <s:row r="141">
      <s:c r="M141" s="4" t="s">
        <s:v>26</s:v>
      </s:c>
      <s:c r="N141" s="4">
        <s:v>139</s:v>
      </s:c>
      <s:c r="O141" s="34">
        <s:v>16</s:v>
      </s:c>
      <s:c r="P141" s="11"/>
      <s:c r="R141" s="4" t="s">
        <s:v>26</s:v>
      </s:c>
      <s:c r="S141" s="4">
        <s:v>139</s:v>
      </s:c>
      <s:c r="T141" s="34">
        <s:v>16</s:v>
      </s:c>
      <s:c r="W141" s="4" t="s">
        <s:v>26</s:v>
      </s:c>
      <s:c r="X141" s="4">
        <s:v>139</s:v>
      </s:c>
      <s:c r="Y141" s="9">
        <s:f>Y140+1/3</s:f>
        <s:v>47.000000000000057</s:v>
      </s:c>
      <s:c r="AB141" s="4" t="s">
        <s:v>26</s:v>
      </s:c>
      <s:c r="AC141" s="4">
        <s:v>139</s:v>
      </s:c>
      <s:c r="AD141" s="9">
        <s:f>AD140+1/3</s:f>
        <s:v>47.000000000000057</s:v>
      </s:c>
      <s:c r="AG141" s="4" t="s">
        <s:v>26</s:v>
      </s:c>
      <s:c r="AH141" s="4">
        <s:v>139</s:v>
      </s:c>
      <s:c r="AI141" s="9">
        <s:f>AI140+1/3</s:f>
        <s:v>47.000000000000057</s:v>
      </s:c>
      <s:c r="AL141" s="4" t="s">
        <s:v>26</s:v>
      </s:c>
      <s:c r="AM141" s="4">
        <s:v>139</s:v>
      </s:c>
      <s:c r="AN141" s="9">
        <s:f>AN140+1/3</s:f>
        <s:v>47.000000000000057</s:v>
      </s:c>
      <s:c r="AQ141" s="4" t="s">
        <s:v>26</s:v>
      </s:c>
      <s:c r="AR141" s="4">
        <s:v>139</s:v>
      </s:c>
      <s:c r="AS141" s="9">
        <s:f>AS140+1/3</s:f>
        <s:v>47.000000000000057</s:v>
      </s:c>
      <s:c r="AW141" s="4" t="s">
        <s:v>26</s:v>
      </s:c>
      <s:c r="AX141" s="4">
        <s:v>139</s:v>
      </s:c>
      <s:c r="AY141" s="9">
        <s:f>AY140+1/3</s:f>
        <s:v>47.000000000000057</s:v>
      </s:c>
    </s:row>
    <s:row r="142">
      <s:c r="M142" s="4" t="s">
        <s:v>26</s:v>
      </s:c>
      <s:c r="N142" s="4">
        <s:v>140</s:v>
      </s:c>
      <s:c r="O142" s="34">
        <s:v>16</s:v>
      </s:c>
      <s:c r="P142" s="11"/>
      <s:c r="R142" s="4" t="s">
        <s:v>26</s:v>
      </s:c>
      <s:c r="S142" s="4">
        <s:v>140</s:v>
      </s:c>
      <s:c r="T142" s="34">
        <s:v>16</s:v>
      </s:c>
      <s:c r="W142" s="4" t="s">
        <s:v>26</s:v>
      </s:c>
      <s:c r="X142" s="4">
        <s:v>140</s:v>
      </s:c>
      <s:c r="Y142" s="9">
        <s:f>Y141+1/3</s:f>
        <s:v>47.333333333333393</s:v>
      </s:c>
      <s:c r="AB142" s="4" t="s">
        <s:v>26</s:v>
      </s:c>
      <s:c r="AC142" s="4">
        <s:v>140</s:v>
      </s:c>
      <s:c r="AD142" s="9">
        <s:f>AD141+1/3</s:f>
        <s:v>47.333333333333393</s:v>
      </s:c>
      <s:c r="AG142" s="4" t="s">
        <s:v>26</s:v>
      </s:c>
      <s:c r="AH142" s="4">
        <s:v>140</s:v>
      </s:c>
      <s:c r="AI142" s="9">
        <s:f>AI141+1/3</s:f>
        <s:v>47.333333333333393</s:v>
      </s:c>
      <s:c r="AL142" s="4" t="s">
        <s:v>26</s:v>
      </s:c>
      <s:c r="AM142" s="4">
        <s:v>140</s:v>
      </s:c>
      <s:c r="AN142" s="9">
        <s:f>AN141+1/3</s:f>
        <s:v>47.333333333333393</s:v>
      </s:c>
      <s:c r="AQ142" s="4" t="s">
        <s:v>26</s:v>
      </s:c>
      <s:c r="AR142" s="4">
        <s:v>140</s:v>
      </s:c>
      <s:c r="AS142" s="9">
        <s:f>AS141+1/3</s:f>
        <s:v>47.333333333333393</s:v>
      </s:c>
      <s:c r="AW142" s="4" t="s">
        <s:v>26</s:v>
      </s:c>
      <s:c r="AX142" s="4">
        <s:v>140</s:v>
      </s:c>
      <s:c r="AY142" s="9">
        <s:f>AY141+1/3</s:f>
        <s:v>47.333333333333393</s:v>
      </s:c>
    </s:row>
    <s:row r="143">
      <s:c r="M143" s="4" t="s">
        <s:v>26</s:v>
      </s:c>
      <s:c r="N143" s="4">
        <s:v>141</s:v>
      </s:c>
      <s:c r="O143" s="34">
        <s:v>16</s:v>
      </s:c>
      <s:c r="P143" s="11"/>
      <s:c r="R143" s="4" t="s">
        <s:v>26</s:v>
      </s:c>
      <s:c r="S143" s="4">
        <s:v>141</s:v>
      </s:c>
      <s:c r="T143" s="34">
        <s:v>16</s:v>
      </s:c>
      <s:c r="W143" s="4" t="s">
        <s:v>26</s:v>
      </s:c>
      <s:c r="X143" s="4">
        <s:v>141</s:v>
      </s:c>
      <s:c r="Y143" s="9">
        <s:f>Y142+1/3</s:f>
        <s:v>47.666666666666728</s:v>
      </s:c>
      <s:c r="AB143" s="4" t="s">
        <s:v>26</s:v>
      </s:c>
      <s:c r="AC143" s="4">
        <s:v>141</s:v>
      </s:c>
      <s:c r="AD143" s="9">
        <s:f>AD142+1/3</s:f>
        <s:v>47.666666666666728</s:v>
      </s:c>
      <s:c r="AG143" s="4" t="s">
        <s:v>26</s:v>
      </s:c>
      <s:c r="AH143" s="4">
        <s:v>141</s:v>
      </s:c>
      <s:c r="AI143" s="9">
        <s:f>AI142+1/3</s:f>
        <s:v>47.666666666666728</s:v>
      </s:c>
      <s:c r="AL143" s="4" t="s">
        <s:v>26</s:v>
      </s:c>
      <s:c r="AM143" s="4">
        <s:v>141</s:v>
      </s:c>
      <s:c r="AN143" s="9">
        <s:f>AN142+1/3</s:f>
        <s:v>47.666666666666728</s:v>
      </s:c>
      <s:c r="AQ143" s="4" t="s">
        <s:v>26</s:v>
      </s:c>
      <s:c r="AR143" s="4">
        <s:v>141</s:v>
      </s:c>
      <s:c r="AS143" s="9">
        <s:f>AS142+1/3</s:f>
        <s:v>47.666666666666728</s:v>
      </s:c>
      <s:c r="AW143" s="4" t="s">
        <s:v>26</s:v>
      </s:c>
      <s:c r="AX143" s="4">
        <s:v>141</s:v>
      </s:c>
      <s:c r="AY143" s="9">
        <s:f>AY142+1/3</s:f>
        <s:v>47.666666666666728</s:v>
      </s:c>
    </s:row>
    <s:row r="144">
      <s:c r="M144" s="4" t="s">
        <s:v>26</s:v>
      </s:c>
      <s:c r="N144" s="4">
        <s:v>142</s:v>
      </s:c>
      <s:c r="O144" s="34">
        <s:v>16</s:v>
      </s:c>
      <s:c r="P144" s="11"/>
      <s:c r="R144" s="4" t="s">
        <s:v>26</s:v>
      </s:c>
      <s:c r="S144" s="4">
        <s:v>142</s:v>
      </s:c>
      <s:c r="T144" s="34">
        <s:v>16</s:v>
      </s:c>
      <s:c r="W144" s="4" t="s">
        <s:v>26</s:v>
      </s:c>
      <s:c r="X144" s="4">
        <s:v>142</s:v>
      </s:c>
      <s:c r="Y144" s="9">
        <s:f>Y143+1/3</s:f>
        <s:v>48.000000000000064</s:v>
      </s:c>
      <s:c r="AB144" s="4" t="s">
        <s:v>26</s:v>
      </s:c>
      <s:c r="AC144" s="4">
        <s:v>142</s:v>
      </s:c>
      <s:c r="AD144" s="9">
        <s:f>AD143+1/3</s:f>
        <s:v>48.000000000000064</s:v>
      </s:c>
      <s:c r="AG144" s="4" t="s">
        <s:v>26</s:v>
      </s:c>
      <s:c r="AH144" s="4">
        <s:v>142</s:v>
      </s:c>
      <s:c r="AI144" s="9">
        <s:f>AI143+1/3</s:f>
        <s:v>48.000000000000064</s:v>
      </s:c>
      <s:c r="AL144" s="4" t="s">
        <s:v>26</s:v>
      </s:c>
      <s:c r="AM144" s="4">
        <s:v>142</s:v>
      </s:c>
      <s:c r="AN144" s="9">
        <s:f>AN143+1/3</s:f>
        <s:v>48.000000000000064</s:v>
      </s:c>
      <s:c r="AQ144" s="4" t="s">
        <s:v>26</s:v>
      </s:c>
      <s:c r="AR144" s="4">
        <s:v>142</s:v>
      </s:c>
      <s:c r="AS144" s="9">
        <s:f>AS143+1/3</s:f>
        <s:v>48.000000000000064</s:v>
      </s:c>
      <s:c r="AW144" s="4" t="s">
        <s:v>26</s:v>
      </s:c>
      <s:c r="AX144" s="4">
        <s:v>142</s:v>
      </s:c>
      <s:c r="AY144" s="9">
        <s:f>AY143+1/3</s:f>
        <s:v>48.000000000000064</s:v>
      </s:c>
    </s:row>
    <s:row r="145">
      <s:c r="M145" s="4" t="s">
        <s:v>26</s:v>
      </s:c>
      <s:c r="N145" s="4">
        <s:v>143</s:v>
      </s:c>
      <s:c r="O145" s="34">
        <s:v>16</s:v>
      </s:c>
      <s:c r="P145" s="11"/>
      <s:c r="R145" s="4" t="s">
        <s:v>26</s:v>
      </s:c>
      <s:c r="S145" s="4">
        <s:v>143</s:v>
      </s:c>
      <s:c r="T145" s="34">
        <s:v>16</s:v>
      </s:c>
      <s:c r="W145" s="4" t="s">
        <s:v>26</s:v>
      </s:c>
      <s:c r="X145" s="4">
        <s:v>143</s:v>
      </s:c>
      <s:c r="Y145" s="9">
        <s:f>Y144+1/3</s:f>
        <s:v>48.3333333333334</s:v>
      </s:c>
      <s:c r="AB145" s="4" t="s">
        <s:v>26</s:v>
      </s:c>
      <s:c r="AC145" s="4">
        <s:v>143</s:v>
      </s:c>
      <s:c r="AD145" s="9">
        <s:f>AD144+1/3</s:f>
        <s:v>48.3333333333334</s:v>
      </s:c>
      <s:c r="AG145" s="4" t="s">
        <s:v>26</s:v>
      </s:c>
      <s:c r="AH145" s="4">
        <s:v>143</s:v>
      </s:c>
      <s:c r="AI145" s="9">
        <s:f>AI144+1/3</s:f>
        <s:v>48.3333333333334</s:v>
      </s:c>
      <s:c r="AL145" s="4" t="s">
        <s:v>26</s:v>
      </s:c>
      <s:c r="AM145" s="4">
        <s:v>143</s:v>
      </s:c>
      <s:c r="AN145" s="9">
        <s:f>AN144+1/3</s:f>
        <s:v>48.3333333333334</s:v>
      </s:c>
      <s:c r="AQ145" s="4" t="s">
        <s:v>26</s:v>
      </s:c>
      <s:c r="AR145" s="4">
        <s:v>143</s:v>
      </s:c>
      <s:c r="AS145" s="9">
        <s:f>AS144+1/3</s:f>
        <s:v>48.3333333333334</s:v>
      </s:c>
      <s:c r="AW145" s="4" t="s">
        <s:v>26</s:v>
      </s:c>
      <s:c r="AX145" s="4">
        <s:v>143</s:v>
      </s:c>
      <s:c r="AY145" s="9">
        <s:f>AY144+1/3</s:f>
        <s:v>48.3333333333334</s:v>
      </s:c>
    </s:row>
    <s:row r="146">
      <s:c r="M146" s="4" t="s">
        <s:v>26</s:v>
      </s:c>
      <s:c r="N146" s="4">
        <s:v>144</s:v>
      </s:c>
      <s:c r="O146" s="34">
        <s:v>16</s:v>
      </s:c>
      <s:c r="P146" s="11"/>
      <s:c r="R146" s="4" t="s">
        <s:v>26</s:v>
      </s:c>
      <s:c r="S146" s="4">
        <s:v>144</s:v>
      </s:c>
      <s:c r="T146" s="34">
        <s:v>16</s:v>
      </s:c>
      <s:c r="W146" s="4" t="s">
        <s:v>26</s:v>
      </s:c>
      <s:c r="X146" s="4">
        <s:v>144</s:v>
      </s:c>
      <s:c r="Y146" s="9">
        <s:f>Y145+1/3</s:f>
        <s:v>48.666666666666735</s:v>
      </s:c>
      <s:c r="AB146" s="4" t="s">
        <s:v>26</s:v>
      </s:c>
      <s:c r="AC146" s="4">
        <s:v>144</s:v>
      </s:c>
      <s:c r="AD146" s="9">
        <s:f>AD145+1/3</s:f>
        <s:v>48.666666666666735</s:v>
      </s:c>
      <s:c r="AG146" s="4" t="s">
        <s:v>26</s:v>
      </s:c>
      <s:c r="AH146" s="4">
        <s:v>144</s:v>
      </s:c>
      <s:c r="AI146" s="9">
        <s:f>AI145+1/3</s:f>
        <s:v>48.666666666666735</s:v>
      </s:c>
      <s:c r="AL146" s="4" t="s">
        <s:v>26</s:v>
      </s:c>
      <s:c r="AM146" s="4">
        <s:v>144</s:v>
      </s:c>
      <s:c r="AN146" s="9">
        <s:f>AN145+1/3</s:f>
        <s:v>48.666666666666735</s:v>
      </s:c>
      <s:c r="AQ146" s="4" t="s">
        <s:v>26</s:v>
      </s:c>
      <s:c r="AR146" s="4">
        <s:v>144</s:v>
      </s:c>
      <s:c r="AS146" s="9">
        <s:f>AS145+1/3</s:f>
        <s:v>48.666666666666735</s:v>
      </s:c>
      <s:c r="AW146" s="4" t="s">
        <s:v>26</s:v>
      </s:c>
      <s:c r="AX146" s="4">
        <s:v>144</s:v>
      </s:c>
      <s:c r="AY146" s="9">
        <s:f>AY145+1/3</s:f>
        <s:v>48.666666666666735</s:v>
      </s:c>
    </s:row>
    <s:row r="147">
      <s:c r="M147" s="4" t="s">
        <s:v>26</s:v>
      </s:c>
      <s:c r="N147" s="4">
        <s:v>145</s:v>
      </s:c>
      <s:c r="O147" s="34">
        <s:v>17</s:v>
      </s:c>
      <s:c r="P147" s="39"/>
      <s:c r="R147" s="4" t="s">
        <s:v>26</s:v>
      </s:c>
      <s:c r="S147" s="4">
        <s:v>145</s:v>
      </s:c>
      <s:c r="T147" s="34">
        <s:v>17</s:v>
      </s:c>
      <s:c r="W147" s="4" t="s">
        <s:v>26</s:v>
      </s:c>
      <s:c r="X147" s="4">
        <s:v>145</s:v>
      </s:c>
      <s:c r="Y147" s="9">
        <s:f>Y146+1/3</s:f>
        <s:v>49.000000000000071</s:v>
      </s:c>
      <s:c r="AB147" s="4" t="s">
        <s:v>26</s:v>
      </s:c>
      <s:c r="AC147" s="4">
        <s:v>145</s:v>
      </s:c>
      <s:c r="AD147" s="9">
        <s:f>AD146+1/3</s:f>
        <s:v>49.000000000000071</s:v>
      </s:c>
      <s:c r="AG147" s="4" t="s">
        <s:v>26</s:v>
      </s:c>
      <s:c r="AH147" s="4">
        <s:v>145</s:v>
      </s:c>
      <s:c r="AI147" s="9">
        <s:f>AI146+1/3</s:f>
        <s:v>49.000000000000071</s:v>
      </s:c>
      <s:c r="AL147" s="4" t="s">
        <s:v>26</s:v>
      </s:c>
      <s:c r="AM147" s="4">
        <s:v>145</s:v>
      </s:c>
      <s:c r="AN147" s="9">
        <s:f>AN146+1/3</s:f>
        <s:v>49.000000000000071</s:v>
      </s:c>
      <s:c r="AQ147" s="4" t="s">
        <s:v>26</s:v>
      </s:c>
      <s:c r="AR147" s="4">
        <s:v>145</s:v>
      </s:c>
      <s:c r="AS147" s="9">
        <s:f>AS146+1/3</s:f>
        <s:v>49.000000000000071</s:v>
      </s:c>
      <s:c r="AW147" s="4" t="s">
        <s:v>26</s:v>
      </s:c>
      <s:c r="AX147" s="4">
        <s:v>145</s:v>
      </s:c>
      <s:c r="AY147" s="9">
        <s:f>AY146+1/3</s:f>
        <s:v>49.000000000000071</s:v>
      </s:c>
    </s:row>
    <s:row r="148">
      <s:c r="M148" s="4" t="s">
        <s:v>26</s:v>
      </s:c>
      <s:c r="N148" s="4">
        <s:v>146</s:v>
      </s:c>
      <s:c r="O148" s="34">
        <s:v>17</s:v>
      </s:c>
      <s:c r="P148" s="39"/>
      <s:c r="R148" s="4" t="s">
        <s:v>26</s:v>
      </s:c>
      <s:c r="S148" s="4">
        <s:v>146</s:v>
      </s:c>
      <s:c r="T148" s="34">
        <s:v>17</s:v>
      </s:c>
      <s:c r="W148" s="4" t="s">
        <s:v>26</s:v>
      </s:c>
      <s:c r="X148" s="4">
        <s:v>146</s:v>
      </s:c>
      <s:c r="Y148" s="9">
        <s:f>Y147+1/3</s:f>
        <s:v>49.333333333333407</s:v>
      </s:c>
      <s:c r="AB148" s="4" t="s">
        <s:v>26</s:v>
      </s:c>
      <s:c r="AC148" s="4">
        <s:v>146</s:v>
      </s:c>
      <s:c r="AD148" s="9">
        <s:f>AD147+1/3</s:f>
        <s:v>49.333333333333407</s:v>
      </s:c>
      <s:c r="AG148" s="4" t="s">
        <s:v>26</s:v>
      </s:c>
      <s:c r="AH148" s="4">
        <s:v>146</s:v>
      </s:c>
      <s:c r="AI148" s="9">
        <s:f>AI147+1/3</s:f>
        <s:v>49.333333333333407</s:v>
      </s:c>
      <s:c r="AL148" s="4" t="s">
        <s:v>26</s:v>
      </s:c>
      <s:c r="AM148" s="4">
        <s:v>146</s:v>
      </s:c>
      <s:c r="AN148" s="9">
        <s:f>AN147+1/3</s:f>
        <s:v>49.333333333333407</s:v>
      </s:c>
      <s:c r="AQ148" s="4" t="s">
        <s:v>26</s:v>
      </s:c>
      <s:c r="AR148" s="4">
        <s:v>146</s:v>
      </s:c>
      <s:c r="AS148" s="9">
        <s:f>AS147+1/3</s:f>
        <s:v>49.333333333333407</s:v>
      </s:c>
      <s:c r="AW148" s="4" t="s">
        <s:v>26</s:v>
      </s:c>
      <s:c r="AX148" s="4">
        <s:v>146</s:v>
      </s:c>
      <s:c r="AY148" s="9">
        <s:f>AY147+1/3</s:f>
        <s:v>49.333333333333407</s:v>
      </s:c>
    </s:row>
    <s:row r="149">
      <s:c r="M149" s="4" t="s">
        <s:v>26</s:v>
      </s:c>
      <s:c r="N149" s="4">
        <s:v>147</s:v>
      </s:c>
      <s:c r="O149" s="34">
        <s:v>17</s:v>
      </s:c>
      <s:c r="P149" s="39"/>
      <s:c r="R149" s="4" t="s">
        <s:v>26</s:v>
      </s:c>
      <s:c r="S149" s="4">
        <s:v>147</s:v>
      </s:c>
      <s:c r="T149" s="34">
        <s:v>17</s:v>
      </s:c>
      <s:c r="W149" s="4" t="s">
        <s:v>26</s:v>
      </s:c>
      <s:c r="X149" s="4">
        <s:v>147</s:v>
      </s:c>
      <s:c r="Y149" s="9">
        <s:f>Y148+1/3</s:f>
        <s:v>49.666666666666742</s:v>
      </s:c>
      <s:c r="AB149" s="4" t="s">
        <s:v>26</s:v>
      </s:c>
      <s:c r="AC149" s="4">
        <s:v>147</s:v>
      </s:c>
      <s:c r="AD149" s="9">
        <s:f>AD148+1/3</s:f>
        <s:v>49.666666666666742</s:v>
      </s:c>
      <s:c r="AG149" s="4" t="s">
        <s:v>26</s:v>
      </s:c>
      <s:c r="AH149" s="4">
        <s:v>147</s:v>
      </s:c>
      <s:c r="AI149" s="9">
        <s:f>AI148+1/3</s:f>
        <s:v>49.666666666666742</s:v>
      </s:c>
      <s:c r="AL149" s="4" t="s">
        <s:v>26</s:v>
      </s:c>
      <s:c r="AM149" s="4">
        <s:v>147</s:v>
      </s:c>
      <s:c r="AN149" s="9">
        <s:f>AN148+1/3</s:f>
        <s:v>49.666666666666742</s:v>
      </s:c>
      <s:c r="AQ149" s="4" t="s">
        <s:v>26</s:v>
      </s:c>
      <s:c r="AR149" s="4">
        <s:v>147</s:v>
      </s:c>
      <s:c r="AS149" s="9">
        <s:f>AS148+1/3</s:f>
        <s:v>49.666666666666742</s:v>
      </s:c>
      <s:c r="AW149" s="4" t="s">
        <s:v>26</s:v>
      </s:c>
      <s:c r="AX149" s="4">
        <s:v>147</s:v>
      </s:c>
      <s:c r="AY149" s="9">
        <s:f>AY148+1/3</s:f>
        <s:v>49.666666666666742</s:v>
      </s:c>
    </s:row>
    <s:row r="150">
      <s:c r="M150" s="4" t="s">
        <s:v>26</s:v>
      </s:c>
      <s:c r="N150" s="4">
        <s:v>148</s:v>
      </s:c>
      <s:c r="O150" s="34">
        <s:v>17</s:v>
      </s:c>
      <s:c r="P150" s="39"/>
      <s:c r="R150" s="4" t="s">
        <s:v>26</s:v>
      </s:c>
      <s:c r="S150" s="4">
        <s:v>148</s:v>
      </s:c>
      <s:c r="T150" s="34">
        <s:v>17</s:v>
      </s:c>
      <s:c r="W150" s="4" t="s">
        <s:v>26</s:v>
      </s:c>
      <s:c r="X150" s="4">
        <s:v>148</s:v>
      </s:c>
      <s:c r="Y150" s="9">
        <s:f>Y149+1/3</s:f>
        <s:v>50.000000000000078</s:v>
      </s:c>
      <s:c r="AB150" s="4" t="s">
        <s:v>26</s:v>
      </s:c>
      <s:c r="AC150" s="4">
        <s:v>148</s:v>
      </s:c>
      <s:c r="AD150" s="9">
        <s:f>AD149+1/3</s:f>
        <s:v>50.000000000000078</s:v>
      </s:c>
      <s:c r="AG150" s="4" t="s">
        <s:v>26</s:v>
      </s:c>
      <s:c r="AH150" s="4">
        <s:v>148</s:v>
      </s:c>
      <s:c r="AI150" s="9">
        <s:f>AI149+1/3</s:f>
        <s:v>50.000000000000078</s:v>
      </s:c>
      <s:c r="AL150" s="4" t="s">
        <s:v>26</s:v>
      </s:c>
      <s:c r="AM150" s="4">
        <s:v>148</s:v>
      </s:c>
      <s:c r="AN150" s="9">
        <s:f>AN149+1/3</s:f>
        <s:v>50.000000000000078</s:v>
      </s:c>
      <s:c r="AQ150" s="4" t="s">
        <s:v>26</s:v>
      </s:c>
      <s:c r="AR150" s="4">
        <s:v>148</s:v>
      </s:c>
      <s:c r="AS150" s="9">
        <s:f>AS149+1/3</s:f>
        <s:v>50.000000000000078</s:v>
      </s:c>
      <s:c r="AW150" s="4" t="s">
        <s:v>26</s:v>
      </s:c>
      <s:c r="AX150" s="4">
        <s:v>148</s:v>
      </s:c>
      <s:c r="AY150" s="9">
        <s:f>AY149+1/3</s:f>
        <s:v>50.000000000000078</s:v>
      </s:c>
    </s:row>
    <s:row r="151">
      <s:c r="M151" s="4" t="s">
        <s:v>26</s:v>
      </s:c>
      <s:c r="N151" s="4">
        <s:v>149</s:v>
      </s:c>
      <s:c r="O151" s="34">
        <s:v>17</s:v>
      </s:c>
      <s:c r="P151" s="39"/>
      <s:c r="R151" s="4" t="s">
        <s:v>26</s:v>
      </s:c>
      <s:c r="S151" s="4">
        <s:v>149</s:v>
      </s:c>
      <s:c r="T151" s="34">
        <s:v>17</s:v>
      </s:c>
      <s:c r="W151" s="4" t="s">
        <s:v>26</s:v>
      </s:c>
      <s:c r="X151" s="4">
        <s:v>149</s:v>
      </s:c>
      <s:c r="Y151" s="9">
        <s:f>Y150+1/3</s:f>
        <s:v>50.333333333333414</s:v>
      </s:c>
      <s:c r="AB151" s="4" t="s">
        <s:v>26</s:v>
      </s:c>
      <s:c r="AC151" s="4">
        <s:v>149</s:v>
      </s:c>
      <s:c r="AD151" s="9">
        <s:f>AD150+1/3</s:f>
        <s:v>50.333333333333414</s:v>
      </s:c>
      <s:c r="AG151" s="4" t="s">
        <s:v>26</s:v>
      </s:c>
      <s:c r="AH151" s="4">
        <s:v>149</s:v>
      </s:c>
      <s:c r="AI151" s="9">
        <s:f>AI150+1/3</s:f>
        <s:v>50.333333333333414</s:v>
      </s:c>
      <s:c r="AL151" s="4" t="s">
        <s:v>26</s:v>
      </s:c>
      <s:c r="AM151" s="4">
        <s:v>149</s:v>
      </s:c>
      <s:c r="AN151" s="9">
        <s:f>AN150+1/3</s:f>
        <s:v>50.333333333333414</s:v>
      </s:c>
      <s:c r="AQ151" s="4" t="s">
        <s:v>26</s:v>
      </s:c>
      <s:c r="AR151" s="4">
        <s:v>149</s:v>
      </s:c>
      <s:c r="AS151" s="9">
        <s:f>AS150+1/3</s:f>
        <s:v>50.333333333333414</s:v>
      </s:c>
      <s:c r="AW151" s="4" t="s">
        <s:v>26</s:v>
      </s:c>
      <s:c r="AX151" s="4">
        <s:v>149</s:v>
      </s:c>
      <s:c r="AY151" s="9">
        <s:f>AY150+1/3</s:f>
        <s:v>50.333333333333414</s:v>
      </s:c>
    </s:row>
    <s:row r="152">
      <s:c r="M152" s="4" t="s">
        <s:v>26</s:v>
      </s:c>
      <s:c r="N152" s="4">
        <s:v>150</s:v>
      </s:c>
      <s:c r="O152" s="34">
        <s:v>17</s:v>
      </s:c>
      <s:c r="P152" s="39"/>
      <s:c r="R152" s="4" t="s">
        <s:v>26</s:v>
      </s:c>
      <s:c r="S152" s="4">
        <s:v>150</s:v>
      </s:c>
      <s:c r="T152" s="34">
        <s:v>17</s:v>
      </s:c>
      <s:c r="W152" s="4" t="s">
        <s:v>26</s:v>
      </s:c>
      <s:c r="X152" s="4">
        <s:v>150</s:v>
      </s:c>
      <s:c r="Y152" s="9">
        <s:f>Y151+1/3</s:f>
        <s:v>50.66666666666675</s:v>
      </s:c>
      <s:c r="AB152" s="4" t="s">
        <s:v>26</s:v>
      </s:c>
      <s:c r="AC152" s="4">
        <s:v>150</s:v>
      </s:c>
      <s:c r="AD152" s="9">
        <s:f>AD151+1/3</s:f>
        <s:v>50.66666666666675</s:v>
      </s:c>
      <s:c r="AG152" s="4" t="s">
        <s:v>26</s:v>
      </s:c>
      <s:c r="AH152" s="4">
        <s:v>150</s:v>
      </s:c>
      <s:c r="AI152" s="9">
        <s:f>AI151+1/3</s:f>
        <s:v>50.66666666666675</s:v>
      </s:c>
      <s:c r="AL152" s="4" t="s">
        <s:v>26</s:v>
      </s:c>
      <s:c r="AM152" s="4">
        <s:v>150</s:v>
      </s:c>
      <s:c r="AN152" s="9">
        <s:f>AN151+1/3</s:f>
        <s:v>50.66666666666675</s:v>
      </s:c>
      <s:c r="AQ152" s="4" t="s">
        <s:v>26</s:v>
      </s:c>
      <s:c r="AR152" s="4">
        <s:v>150</s:v>
      </s:c>
      <s:c r="AS152" s="9">
        <s:f>AS151+1/3</s:f>
        <s:v>50.66666666666675</s:v>
      </s:c>
      <s:c r="AW152" s="4" t="s">
        <s:v>26</s:v>
      </s:c>
      <s:c r="AX152" s="4">
        <s:v>150</s:v>
      </s:c>
      <s:c r="AY152" s="9">
        <s:f>AY151+1/3</s:f>
        <s:v>50.66666666666675</s:v>
      </s:c>
    </s:row>
    <s:row r="153">
      <s:c r="M153" s="4" t="s">
        <s:v>26</s:v>
      </s:c>
      <s:c r="N153" s="4">
        <s:v>151</s:v>
      </s:c>
      <s:c r="O153" s="34">
        <s:v>17</s:v>
      </s:c>
      <s:c r="P153" s="39"/>
      <s:c r="R153" s="4" t="s">
        <s:v>26</s:v>
      </s:c>
      <s:c r="S153" s="4">
        <s:v>151</s:v>
      </s:c>
      <s:c r="T153" s="34">
        <s:v>17</s:v>
      </s:c>
      <s:c r="W153" s="4" t="s">
        <s:v>26</s:v>
      </s:c>
      <s:c r="X153" s="4">
        <s:v>151</s:v>
      </s:c>
      <s:c r="Y153" s="9">
        <s:f>Y152+1/3</s:f>
        <s:v>51.000000000000085</s:v>
      </s:c>
      <s:c r="AB153" s="4" t="s">
        <s:v>26</s:v>
      </s:c>
      <s:c r="AC153" s="4">
        <s:v>151</s:v>
      </s:c>
      <s:c r="AD153" s="9">
        <s:f>AD152+1/3</s:f>
        <s:v>51.000000000000085</s:v>
      </s:c>
      <s:c r="AG153" s="4" t="s">
        <s:v>26</s:v>
      </s:c>
      <s:c r="AH153" s="4">
        <s:v>151</s:v>
      </s:c>
      <s:c r="AI153" s="9">
        <s:f>AI152+1/3</s:f>
        <s:v>51.000000000000085</s:v>
      </s:c>
      <s:c r="AL153" s="4" t="s">
        <s:v>26</s:v>
      </s:c>
      <s:c r="AM153" s="4">
        <s:v>151</s:v>
      </s:c>
      <s:c r="AN153" s="9">
        <s:f>AN152+1/3</s:f>
        <s:v>51.000000000000085</s:v>
      </s:c>
      <s:c r="AQ153" s="4" t="s">
        <s:v>26</s:v>
      </s:c>
      <s:c r="AR153" s="4">
        <s:v>151</s:v>
      </s:c>
      <s:c r="AS153" s="9">
        <s:f>AS152+1/3</s:f>
        <s:v>51.000000000000085</s:v>
      </s:c>
      <s:c r="AW153" s="4" t="s">
        <s:v>26</s:v>
      </s:c>
      <s:c r="AX153" s="4">
        <s:v>151</s:v>
      </s:c>
      <s:c r="AY153" s="9">
        <s:f>AY152+1/3</s:f>
        <s:v>51.000000000000085</s:v>
      </s:c>
    </s:row>
    <s:row r="154">
      <s:c r="M154" s="4" t="s">
        <s:v>26</s:v>
      </s:c>
      <s:c r="N154" s="4">
        <s:v>152</s:v>
      </s:c>
      <s:c r="O154" s="34">
        <s:v>17</s:v>
      </s:c>
      <s:c r="P154" s="39"/>
      <s:c r="R154" s="4" t="s">
        <s:v>26</s:v>
      </s:c>
      <s:c r="S154" s="4">
        <s:v>152</s:v>
      </s:c>
      <s:c r="T154" s="34">
        <s:v>17</s:v>
      </s:c>
      <s:c r="W154" s="4" t="s">
        <s:v>26</s:v>
      </s:c>
      <s:c r="X154" s="4">
        <s:v>152</s:v>
      </s:c>
      <s:c r="Y154" s="9">
        <s:f>Y153+1/3</s:f>
        <s:v>51.333333333333421</s:v>
      </s:c>
      <s:c r="AB154" s="4" t="s">
        <s:v>26</s:v>
      </s:c>
      <s:c r="AC154" s="4">
        <s:v>152</s:v>
      </s:c>
      <s:c r="AD154" s="9">
        <s:f>AD153+1/3</s:f>
        <s:v>51.333333333333421</s:v>
      </s:c>
      <s:c r="AG154" s="4" t="s">
        <s:v>26</s:v>
      </s:c>
      <s:c r="AH154" s="4">
        <s:v>152</s:v>
      </s:c>
      <s:c r="AI154" s="9">
        <s:f>AI153+1/3</s:f>
        <s:v>51.333333333333421</s:v>
      </s:c>
      <s:c r="AL154" s="4" t="s">
        <s:v>26</s:v>
      </s:c>
      <s:c r="AM154" s="4">
        <s:v>152</s:v>
      </s:c>
      <s:c r="AN154" s="9">
        <s:f>AN153+1/3</s:f>
        <s:v>51.333333333333421</s:v>
      </s:c>
      <s:c r="AQ154" s="4" t="s">
        <s:v>26</s:v>
      </s:c>
      <s:c r="AR154" s="4">
        <s:v>152</s:v>
      </s:c>
      <s:c r="AS154" s="9">
        <s:f>AS153+1/3</s:f>
        <s:v>51.333333333333421</s:v>
      </s:c>
      <s:c r="AW154" s="4" t="s">
        <s:v>26</s:v>
      </s:c>
      <s:c r="AX154" s="4">
        <s:v>152</s:v>
      </s:c>
      <s:c r="AY154" s="9">
        <s:f>AY153+1/3</s:f>
        <s:v>51.333333333333421</s:v>
      </s:c>
    </s:row>
    <s:row r="155">
      <s:c r="M155" s="4" t="s">
        <s:v>26</s:v>
      </s:c>
      <s:c r="N155" s="4">
        <s:v>153</s:v>
      </s:c>
      <s:c r="O155" s="34">
        <s:v>17</s:v>
      </s:c>
      <s:c r="P155" s="39"/>
      <s:c r="R155" s="4" t="s">
        <s:v>26</s:v>
      </s:c>
      <s:c r="S155" s="4">
        <s:v>153</s:v>
      </s:c>
      <s:c r="T155" s="34">
        <s:v>17</s:v>
      </s:c>
      <s:c r="W155" s="4" t="s">
        <s:v>26</s:v>
      </s:c>
      <s:c r="X155" s="4">
        <s:v>153</s:v>
      </s:c>
      <s:c r="Y155" s="9">
        <s:f>Y154+1/3</s:f>
        <s:v>51.666666666666757</s:v>
      </s:c>
      <s:c r="AB155" s="4" t="s">
        <s:v>26</s:v>
      </s:c>
      <s:c r="AC155" s="4">
        <s:v>153</s:v>
      </s:c>
      <s:c r="AD155" s="9">
        <s:f>AD154+1/3</s:f>
        <s:v>51.666666666666757</s:v>
      </s:c>
      <s:c r="AG155" s="4" t="s">
        <s:v>26</s:v>
      </s:c>
      <s:c r="AH155" s="4">
        <s:v>153</s:v>
      </s:c>
      <s:c r="AI155" s="9">
        <s:f>AI154+1/3</s:f>
        <s:v>51.666666666666757</s:v>
      </s:c>
      <s:c r="AL155" s="4" t="s">
        <s:v>26</s:v>
      </s:c>
      <s:c r="AM155" s="4">
        <s:v>153</s:v>
      </s:c>
      <s:c r="AN155" s="9">
        <s:f>AN154+1/3</s:f>
        <s:v>51.666666666666757</s:v>
      </s:c>
      <s:c r="AQ155" s="4" t="s">
        <s:v>26</s:v>
      </s:c>
      <s:c r="AR155" s="4">
        <s:v>153</s:v>
      </s:c>
      <s:c r="AS155" s="9">
        <s:f>AS154+1/3</s:f>
        <s:v>51.666666666666757</s:v>
      </s:c>
      <s:c r="AW155" s="4" t="s">
        <s:v>26</s:v>
      </s:c>
      <s:c r="AX155" s="4">
        <s:v>153</s:v>
      </s:c>
      <s:c r="AY155" s="9">
        <s:f>AY154+1/3</s:f>
        <s:v>51.666666666666757</s:v>
      </s:c>
    </s:row>
    <s:row r="156">
      <s:c r="M156" s="4" t="s">
        <s:v>26</s:v>
      </s:c>
      <s:c r="N156" s="4">
        <s:v>154</s:v>
      </s:c>
      <s:c r="O156" s="34">
        <s:v>18</s:v>
      </s:c>
      <s:c r="P156" s="11"/>
      <s:c r="R156" s="4" t="s">
        <s:v>26</s:v>
      </s:c>
      <s:c r="S156" s="4">
        <s:v>154</s:v>
      </s:c>
      <s:c r="T156" s="34">
        <s:v>18</s:v>
      </s:c>
      <s:c r="W156" s="4" t="s">
        <s:v>26</s:v>
      </s:c>
      <s:c r="X156" s="4">
        <s:v>154</s:v>
      </s:c>
      <s:c r="Y156" s="9">
        <s:f>Y155+1/3</s:f>
        <s:v>52.000000000000092</s:v>
      </s:c>
      <s:c r="AB156" s="4" t="s">
        <s:v>26</s:v>
      </s:c>
      <s:c r="AC156" s="4">
        <s:v>154</s:v>
      </s:c>
      <s:c r="AD156" s="9">
        <s:f>AD155+1/3</s:f>
        <s:v>52.000000000000092</s:v>
      </s:c>
      <s:c r="AG156" s="4" t="s">
        <s:v>26</s:v>
      </s:c>
      <s:c r="AH156" s="4">
        <s:v>154</s:v>
      </s:c>
      <s:c r="AI156" s="9">
        <s:f>AI155+1/3</s:f>
        <s:v>52.000000000000092</s:v>
      </s:c>
      <s:c r="AL156" s="4" t="s">
        <s:v>26</s:v>
      </s:c>
      <s:c r="AM156" s="4">
        <s:v>154</s:v>
      </s:c>
      <s:c r="AN156" s="9">
        <s:f>AN155+1/3</s:f>
        <s:v>52.000000000000092</s:v>
      </s:c>
      <s:c r="AQ156" s="4" t="s">
        <s:v>26</s:v>
      </s:c>
      <s:c r="AR156" s="4">
        <s:v>154</s:v>
      </s:c>
      <s:c r="AS156" s="9">
        <s:f>AS155+1/3</s:f>
        <s:v>52.000000000000092</s:v>
      </s:c>
      <s:c r="AW156" s="4" t="s">
        <s:v>26</s:v>
      </s:c>
      <s:c r="AX156" s="4">
        <s:v>154</s:v>
      </s:c>
      <s:c r="AY156" s="9">
        <s:f>AY155+1/3</s:f>
        <s:v>52.000000000000092</s:v>
      </s:c>
    </s:row>
    <s:row r="157">
      <s:c r="M157" s="4" t="s">
        <s:v>26</s:v>
      </s:c>
      <s:c r="N157" s="4">
        <s:v>155</s:v>
      </s:c>
      <s:c r="O157" s="34">
        <s:v>18</s:v>
      </s:c>
      <s:c r="P157" s="11"/>
      <s:c r="R157" s="4" t="s">
        <s:v>26</s:v>
      </s:c>
      <s:c r="S157" s="4">
        <s:v>155</s:v>
      </s:c>
      <s:c r="T157" s="34">
        <s:v>18</s:v>
      </s:c>
      <s:c r="W157" s="4" t="s">
        <s:v>26</s:v>
      </s:c>
      <s:c r="X157" s="4">
        <s:v>155</s:v>
      </s:c>
      <s:c r="Y157" s="9">
        <s:f>Y156+1/3</s:f>
        <s:v>52.333333333333428</s:v>
      </s:c>
      <s:c r="AB157" s="4" t="s">
        <s:v>26</s:v>
      </s:c>
      <s:c r="AC157" s="4">
        <s:v>155</s:v>
      </s:c>
      <s:c r="AD157" s="9">
        <s:f>AD156+1/3</s:f>
        <s:v>52.333333333333428</s:v>
      </s:c>
      <s:c r="AG157" s="4" t="s">
        <s:v>26</s:v>
      </s:c>
      <s:c r="AH157" s="4">
        <s:v>155</s:v>
      </s:c>
      <s:c r="AI157" s="9">
        <s:f>AI156+1/3</s:f>
        <s:v>52.333333333333428</s:v>
      </s:c>
      <s:c r="AL157" s="4" t="s">
        <s:v>26</s:v>
      </s:c>
      <s:c r="AM157" s="4">
        <s:v>155</s:v>
      </s:c>
      <s:c r="AN157" s="9">
        <s:f>AN156+1/3</s:f>
        <s:v>52.333333333333428</s:v>
      </s:c>
      <s:c r="AQ157" s="4" t="s">
        <s:v>26</s:v>
      </s:c>
      <s:c r="AR157" s="4">
        <s:v>155</s:v>
      </s:c>
      <s:c r="AS157" s="9">
        <s:f>AS156+1/3</s:f>
        <s:v>52.333333333333428</s:v>
      </s:c>
      <s:c r="AW157" s="4" t="s">
        <s:v>26</s:v>
      </s:c>
      <s:c r="AX157" s="4">
        <s:v>155</s:v>
      </s:c>
      <s:c r="AY157" s="9">
        <s:f>AY156+1/3</s:f>
        <s:v>52.333333333333428</s:v>
      </s:c>
    </s:row>
    <s:row r="158">
      <s:c r="M158" s="4" t="s">
        <s:v>26</s:v>
      </s:c>
      <s:c r="N158" s="4">
        <s:v>156</s:v>
      </s:c>
      <s:c r="O158" s="34">
        <s:v>18</s:v>
      </s:c>
      <s:c r="P158" s="11"/>
      <s:c r="R158" s="4" t="s">
        <s:v>26</s:v>
      </s:c>
      <s:c r="S158" s="4">
        <s:v>156</s:v>
      </s:c>
      <s:c r="T158" s="34">
        <s:v>18</s:v>
      </s:c>
      <s:c r="W158" s="4" t="s">
        <s:v>26</s:v>
      </s:c>
      <s:c r="X158" s="4">
        <s:v>156</s:v>
      </s:c>
      <s:c r="Y158" s="9">
        <s:f>Y157+1/3</s:f>
        <s:v>52.666666666666764</s:v>
      </s:c>
      <s:c r="AB158" s="4" t="s">
        <s:v>26</s:v>
      </s:c>
      <s:c r="AC158" s="4">
        <s:v>156</s:v>
      </s:c>
      <s:c r="AD158" s="9">
        <s:f>AD157+1/3</s:f>
        <s:v>52.666666666666764</s:v>
      </s:c>
      <s:c r="AG158" s="4" t="s">
        <s:v>26</s:v>
      </s:c>
      <s:c r="AH158" s="4">
        <s:v>156</s:v>
      </s:c>
      <s:c r="AI158" s="9">
        <s:f>AI157+1/3</s:f>
        <s:v>52.666666666666764</s:v>
      </s:c>
      <s:c r="AL158" s="4" t="s">
        <s:v>26</s:v>
      </s:c>
      <s:c r="AM158" s="4">
        <s:v>156</s:v>
      </s:c>
      <s:c r="AN158" s="9">
        <s:f>AN157+1/3</s:f>
        <s:v>52.666666666666764</s:v>
      </s:c>
      <s:c r="AQ158" s="4" t="s">
        <s:v>26</s:v>
      </s:c>
      <s:c r="AR158" s="4">
        <s:v>156</s:v>
      </s:c>
      <s:c r="AS158" s="9">
        <s:f>AS157+1/3</s:f>
        <s:v>52.666666666666764</s:v>
      </s:c>
      <s:c r="AW158" s="4" t="s">
        <s:v>26</s:v>
      </s:c>
      <s:c r="AX158" s="4">
        <s:v>156</s:v>
      </s:c>
      <s:c r="AY158" s="9">
        <s:f>AY157+1/3</s:f>
        <s:v>52.666666666666764</s:v>
      </s:c>
    </s:row>
    <s:row r="159">
      <s:c r="M159" s="4" t="s">
        <s:v>26</s:v>
      </s:c>
      <s:c r="N159" s="4">
        <s:v>157</s:v>
      </s:c>
      <s:c r="O159" s="34">
        <s:v>18</s:v>
      </s:c>
      <s:c r="P159" s="11"/>
      <s:c r="R159" s="4" t="s">
        <s:v>26</s:v>
      </s:c>
      <s:c r="S159" s="4">
        <s:v>157</s:v>
      </s:c>
      <s:c r="T159" s="34">
        <s:v>18</s:v>
      </s:c>
      <s:c r="W159" s="4" t="s">
        <s:v>26</s:v>
      </s:c>
      <s:c r="X159" s="4">
        <s:v>157</s:v>
      </s:c>
      <s:c r="Y159" s="9">
        <s:f>Y158+1/3</s:f>
        <s:v>53.000000000000099</s:v>
      </s:c>
      <s:c r="AB159" s="4" t="s">
        <s:v>26</s:v>
      </s:c>
      <s:c r="AC159" s="4">
        <s:v>157</s:v>
      </s:c>
      <s:c r="AD159" s="9">
        <s:f>AD158+1/3</s:f>
        <s:v>53.000000000000099</s:v>
      </s:c>
      <s:c r="AG159" s="4" t="s">
        <s:v>26</s:v>
      </s:c>
      <s:c r="AH159" s="4">
        <s:v>157</s:v>
      </s:c>
      <s:c r="AI159" s="9">
        <s:f>AI158+1/3</s:f>
        <s:v>53.000000000000099</s:v>
      </s:c>
      <s:c r="AL159" s="4" t="s">
        <s:v>26</s:v>
      </s:c>
      <s:c r="AM159" s="4">
        <s:v>157</s:v>
      </s:c>
      <s:c r="AN159" s="9">
        <s:f>AN158+1/3</s:f>
        <s:v>53.000000000000099</s:v>
      </s:c>
      <s:c r="AQ159" s="4" t="s">
        <s:v>26</s:v>
      </s:c>
      <s:c r="AR159" s="4">
        <s:v>157</s:v>
      </s:c>
      <s:c r="AS159" s="9">
        <s:f>AS158+1/3</s:f>
        <s:v>53.000000000000099</s:v>
      </s:c>
      <s:c r="AW159" s="4" t="s">
        <s:v>26</s:v>
      </s:c>
      <s:c r="AX159" s="4">
        <s:v>157</s:v>
      </s:c>
      <s:c r="AY159" s="9">
        <s:f>AY158+1/3</s:f>
        <s:v>53.000000000000099</s:v>
      </s:c>
    </s:row>
    <s:row r="160">
      <s:c r="M160" s="4" t="s">
        <s:v>26</s:v>
      </s:c>
      <s:c r="N160" s="4">
        <s:v>158</s:v>
      </s:c>
      <s:c r="O160" s="34">
        <s:v>18</s:v>
      </s:c>
      <s:c r="P160" s="11"/>
      <s:c r="R160" s="4" t="s">
        <s:v>26</s:v>
      </s:c>
      <s:c r="S160" s="4">
        <s:v>158</s:v>
      </s:c>
      <s:c r="T160" s="34">
        <s:v>18</s:v>
      </s:c>
      <s:c r="W160" s="4" t="s">
        <s:v>26</s:v>
      </s:c>
      <s:c r="X160" s="4">
        <s:v>158</s:v>
      </s:c>
      <s:c r="Y160" s="9">
        <s:f>Y159+1/3</s:f>
        <s:v>53.333333333333435</s:v>
      </s:c>
      <s:c r="AB160" s="4" t="s">
        <s:v>26</s:v>
      </s:c>
      <s:c r="AC160" s="4">
        <s:v>158</s:v>
      </s:c>
      <s:c r="AD160" s="9">
        <s:f>AD159+1/3</s:f>
        <s:v>53.333333333333435</s:v>
      </s:c>
      <s:c r="AG160" s="4" t="s">
        <s:v>26</s:v>
      </s:c>
      <s:c r="AH160" s="4">
        <s:v>158</s:v>
      </s:c>
      <s:c r="AI160" s="9">
        <s:f>AI159+1/3</s:f>
        <s:v>53.333333333333435</s:v>
      </s:c>
      <s:c r="AL160" s="4" t="s">
        <s:v>26</s:v>
      </s:c>
      <s:c r="AM160" s="4">
        <s:v>158</s:v>
      </s:c>
      <s:c r="AN160" s="9">
        <s:f>AN159+1/3</s:f>
        <s:v>53.333333333333435</s:v>
      </s:c>
      <s:c r="AQ160" s="4" t="s">
        <s:v>26</s:v>
      </s:c>
      <s:c r="AR160" s="4">
        <s:v>158</s:v>
      </s:c>
      <s:c r="AS160" s="9">
        <s:f>AS159+1/3</s:f>
        <s:v>53.333333333333435</s:v>
      </s:c>
      <s:c r="AW160" s="4" t="s">
        <s:v>26</s:v>
      </s:c>
      <s:c r="AX160" s="4">
        <s:v>158</s:v>
      </s:c>
      <s:c r="AY160" s="9">
        <s:f>AY159+1/3</s:f>
        <s:v>53.333333333333435</s:v>
      </s:c>
    </s:row>
    <s:row r="161">
      <s:c r="M161" s="4" t="s">
        <s:v>26</s:v>
      </s:c>
      <s:c r="N161" s="4">
        <s:v>159</s:v>
      </s:c>
      <s:c r="O161" s="34">
        <s:v>18</s:v>
      </s:c>
      <s:c r="P161" s="11"/>
      <s:c r="R161" s="4" t="s">
        <s:v>26</s:v>
      </s:c>
      <s:c r="S161" s="4">
        <s:v>159</s:v>
      </s:c>
      <s:c r="T161" s="34">
        <s:v>18</s:v>
      </s:c>
      <s:c r="W161" s="4" t="s">
        <s:v>26</s:v>
      </s:c>
      <s:c r="X161" s="4">
        <s:v>159</s:v>
      </s:c>
      <s:c r="Y161" s="9">
        <s:f>Y160+1/3</s:f>
        <s:v>53.666666666666771</s:v>
      </s:c>
      <s:c r="AB161" s="4" t="s">
        <s:v>26</s:v>
      </s:c>
      <s:c r="AC161" s="4">
        <s:v>159</s:v>
      </s:c>
      <s:c r="AD161" s="9">
        <s:f>AD160+1/3</s:f>
        <s:v>53.666666666666771</s:v>
      </s:c>
      <s:c r="AG161" s="4" t="s">
        <s:v>26</s:v>
      </s:c>
      <s:c r="AH161" s="4">
        <s:v>159</s:v>
      </s:c>
      <s:c r="AI161" s="9">
        <s:f>AI160+1/3</s:f>
        <s:v>53.666666666666771</s:v>
      </s:c>
      <s:c r="AL161" s="4" t="s">
        <s:v>26</s:v>
      </s:c>
      <s:c r="AM161" s="4">
        <s:v>159</s:v>
      </s:c>
      <s:c r="AN161" s="9">
        <s:f>AN160+1/3</s:f>
        <s:v>53.666666666666771</s:v>
      </s:c>
      <s:c r="AQ161" s="4" t="s">
        <s:v>26</s:v>
      </s:c>
      <s:c r="AR161" s="4">
        <s:v>159</s:v>
      </s:c>
      <s:c r="AS161" s="9">
        <s:f>AS160+1/3</s:f>
        <s:v>53.666666666666771</s:v>
      </s:c>
      <s:c r="AW161" s="4" t="s">
        <s:v>26</s:v>
      </s:c>
      <s:c r="AX161" s="4">
        <s:v>159</s:v>
      </s:c>
      <s:c r="AY161" s="9">
        <s:f>AY160+1/3</s:f>
        <s:v>53.666666666666771</s:v>
      </s:c>
    </s:row>
    <s:row r="162">
      <s:c r="M162" s="4" t="s">
        <s:v>26</s:v>
      </s:c>
      <s:c r="N162" s="4">
        <s:v>160</s:v>
      </s:c>
      <s:c r="O162" s="34">
        <s:v>18</s:v>
      </s:c>
      <s:c r="P162" s="11"/>
      <s:c r="R162" s="4" t="s">
        <s:v>26</s:v>
      </s:c>
      <s:c r="S162" s="4">
        <s:v>160</s:v>
      </s:c>
      <s:c r="T162" s="34">
        <s:v>18</s:v>
      </s:c>
      <s:c r="W162" s="4" t="s">
        <s:v>26</s:v>
      </s:c>
      <s:c r="X162" s="4">
        <s:v>160</s:v>
      </s:c>
      <s:c r="Y162" s="9">
        <s:f>Y161+1/3</s:f>
        <s:v>54.000000000000107</s:v>
      </s:c>
      <s:c r="AB162" s="4" t="s">
        <s:v>26</s:v>
      </s:c>
      <s:c r="AC162" s="4">
        <s:v>160</s:v>
      </s:c>
      <s:c r="AD162" s="9">
        <s:f>AD161+1/3</s:f>
        <s:v>54.000000000000107</s:v>
      </s:c>
      <s:c r="AG162" s="4" t="s">
        <s:v>26</s:v>
      </s:c>
      <s:c r="AH162" s="4">
        <s:v>160</s:v>
      </s:c>
      <s:c r="AI162" s="9">
        <s:f>AI161+1/3</s:f>
        <s:v>54.000000000000107</s:v>
      </s:c>
      <s:c r="AL162" s="4" t="s">
        <s:v>26</s:v>
      </s:c>
      <s:c r="AM162" s="4">
        <s:v>160</s:v>
      </s:c>
      <s:c r="AN162" s="9">
        <s:f>AN161+1/3</s:f>
        <s:v>54.000000000000107</s:v>
      </s:c>
      <s:c r="AQ162" s="4" t="s">
        <s:v>26</s:v>
      </s:c>
      <s:c r="AR162" s="4">
        <s:v>160</s:v>
      </s:c>
      <s:c r="AS162" s="9">
        <s:f>AS161+1/3</s:f>
        <s:v>54.000000000000107</s:v>
      </s:c>
      <s:c r="AW162" s="4" t="s">
        <s:v>26</s:v>
      </s:c>
      <s:c r="AX162" s="4">
        <s:v>160</s:v>
      </s:c>
      <s:c r="AY162" s="9">
        <s:f>AY161+1/3</s:f>
        <s:v>54.000000000000107</s:v>
      </s:c>
    </s:row>
    <s:row r="163">
      <s:c r="M163" s="4" t="s">
        <s:v>26</s:v>
      </s:c>
      <s:c r="N163" s="4">
        <s:v>161</s:v>
      </s:c>
      <s:c r="O163" s="34">
        <s:v>18</s:v>
      </s:c>
      <s:c r="P163" s="11"/>
      <s:c r="R163" s="4" t="s">
        <s:v>26</s:v>
      </s:c>
      <s:c r="S163" s="4">
        <s:v>161</s:v>
      </s:c>
      <s:c r="T163" s="34">
        <s:v>18</s:v>
      </s:c>
      <s:c r="W163" s="4" t="s">
        <s:v>26</s:v>
      </s:c>
      <s:c r="X163" s="4">
        <s:v>161</s:v>
      </s:c>
      <s:c r="Y163" s="9">
        <s:f>Y162+1/3</s:f>
        <s:v>54.333333333333442</s:v>
      </s:c>
      <s:c r="AB163" s="4" t="s">
        <s:v>26</s:v>
      </s:c>
      <s:c r="AC163" s="4">
        <s:v>161</s:v>
      </s:c>
      <s:c r="AD163" s="9">
        <s:f>AD162+1/3</s:f>
        <s:v>54.333333333333442</s:v>
      </s:c>
      <s:c r="AG163" s="4" t="s">
        <s:v>26</s:v>
      </s:c>
      <s:c r="AH163" s="4">
        <s:v>161</s:v>
      </s:c>
      <s:c r="AI163" s="9">
        <s:f>AI162+1/3</s:f>
        <s:v>54.333333333333442</s:v>
      </s:c>
      <s:c r="AL163" s="4" t="s">
        <s:v>26</s:v>
      </s:c>
      <s:c r="AM163" s="4">
        <s:v>161</s:v>
      </s:c>
      <s:c r="AN163" s="9">
        <s:f>AN162+1/3</s:f>
        <s:v>54.333333333333442</s:v>
      </s:c>
      <s:c r="AQ163" s="4" t="s">
        <s:v>26</s:v>
      </s:c>
      <s:c r="AR163" s="4">
        <s:v>161</s:v>
      </s:c>
      <s:c r="AS163" s="9">
        <s:f>AS162+1/3</s:f>
        <s:v>54.333333333333442</s:v>
      </s:c>
      <s:c r="AW163" s="4" t="s">
        <s:v>26</s:v>
      </s:c>
      <s:c r="AX163" s="4">
        <s:v>161</s:v>
      </s:c>
      <s:c r="AY163" s="9">
        <s:f>AY162+1/3</s:f>
        <s:v>54.333333333333442</s:v>
      </s:c>
    </s:row>
    <s:row r="164">
      <s:c r="M164" s="4" t="s">
        <s:v>26</s:v>
      </s:c>
      <s:c r="N164" s="4">
        <s:v>162</s:v>
      </s:c>
      <s:c r="O164" s="34">
        <s:v>18</s:v>
      </s:c>
      <s:c r="P164" s="11"/>
      <s:c r="R164" s="4" t="s">
        <s:v>26</s:v>
      </s:c>
      <s:c r="S164" s="4">
        <s:v>162</s:v>
      </s:c>
      <s:c r="T164" s="34">
        <s:v>18</s:v>
      </s:c>
      <s:c r="W164" s="4" t="s">
        <s:v>26</s:v>
      </s:c>
      <s:c r="X164" s="4">
        <s:v>162</s:v>
      </s:c>
      <s:c r="Y164" s="9">
        <s:f>Y163+1/3</s:f>
        <s:v>54.666666666666778</s:v>
      </s:c>
      <s:c r="AB164" s="4" t="s">
        <s:v>26</s:v>
      </s:c>
      <s:c r="AC164" s="4">
        <s:v>162</s:v>
      </s:c>
      <s:c r="AD164" s="9">
        <s:f>AD163+1/3</s:f>
        <s:v>54.666666666666778</s:v>
      </s:c>
      <s:c r="AG164" s="4" t="s">
        <s:v>26</s:v>
      </s:c>
      <s:c r="AH164" s="4">
        <s:v>162</s:v>
      </s:c>
      <s:c r="AI164" s="9">
        <s:f>AI163+1/3</s:f>
        <s:v>54.666666666666778</s:v>
      </s:c>
      <s:c r="AL164" s="4" t="s">
        <s:v>26</s:v>
      </s:c>
      <s:c r="AM164" s="4">
        <s:v>162</s:v>
      </s:c>
      <s:c r="AN164" s="9">
        <s:f>AN163+1/3</s:f>
        <s:v>54.666666666666778</s:v>
      </s:c>
      <s:c r="AQ164" s="4" t="s">
        <s:v>26</s:v>
      </s:c>
      <s:c r="AR164" s="4">
        <s:v>162</s:v>
      </s:c>
      <s:c r="AS164" s="9">
        <s:f>AS163+1/3</s:f>
        <s:v>54.666666666666778</s:v>
      </s:c>
      <s:c r="AW164" s="4" t="s">
        <s:v>26</s:v>
      </s:c>
      <s:c r="AX164" s="4">
        <s:v>162</s:v>
      </s:c>
      <s:c r="AY164" s="9">
        <s:f>AY163+1/3</s:f>
        <s:v>54.666666666666778</s:v>
      </s:c>
    </s:row>
    <s:row r="165">
      <s:c r="M165" s="4" t="s">
        <s:v>26</s:v>
      </s:c>
      <s:c r="N165" s="4">
        <s:v>163</s:v>
      </s:c>
      <s:c r="O165" s="34">
        <s:v>19</s:v>
      </s:c>
      <s:c r="P165" s="39"/>
      <s:c r="R165" s="4" t="s">
        <s:v>26</s:v>
      </s:c>
      <s:c r="S165" s="4">
        <s:v>163</s:v>
      </s:c>
      <s:c r="T165" s="34">
        <s:v>19</s:v>
      </s:c>
      <s:c r="W165" s="4" t="s">
        <s:v>26</s:v>
      </s:c>
      <s:c r="X165" s="4">
        <s:v>163</s:v>
      </s:c>
      <s:c r="Y165" s="9">
        <s:f>Y164+1/3</s:f>
        <s:v>55.000000000000114</s:v>
      </s:c>
      <s:c r="AB165" s="4" t="s">
        <s:v>26</s:v>
      </s:c>
      <s:c r="AC165" s="4">
        <s:v>163</s:v>
      </s:c>
      <s:c r="AD165" s="9">
        <s:f>AD164+1/3</s:f>
        <s:v>55.000000000000114</s:v>
      </s:c>
      <s:c r="AG165" s="4" t="s">
        <s:v>26</s:v>
      </s:c>
      <s:c r="AH165" s="4">
        <s:v>163</s:v>
      </s:c>
      <s:c r="AI165" s="9">
        <s:f>AI164+1/3</s:f>
        <s:v>55.000000000000114</s:v>
      </s:c>
      <s:c r="AL165" s="4" t="s">
        <s:v>26</s:v>
      </s:c>
      <s:c r="AM165" s="4">
        <s:v>163</s:v>
      </s:c>
      <s:c r="AN165" s="9">
        <s:f>AN164+1/3</s:f>
        <s:v>55.000000000000114</s:v>
      </s:c>
      <s:c r="AQ165" s="4" t="s">
        <s:v>26</s:v>
      </s:c>
      <s:c r="AR165" s="4">
        <s:v>163</s:v>
      </s:c>
      <s:c r="AS165" s="9">
        <s:f>AS164+1/3</s:f>
        <s:v>55.000000000000114</s:v>
      </s:c>
      <s:c r="AW165" s="4" t="s">
        <s:v>26</s:v>
      </s:c>
      <s:c r="AX165" s="4">
        <s:v>163</s:v>
      </s:c>
      <s:c r="AY165" s="9">
        <s:f>AY164+1/3</s:f>
        <s:v>55.000000000000114</s:v>
      </s:c>
    </s:row>
    <s:row r="166">
      <s:c r="M166" s="4" t="s">
        <s:v>26</s:v>
      </s:c>
      <s:c r="N166" s="4">
        <s:v>164</s:v>
      </s:c>
      <s:c r="O166" s="34">
        <s:v>19</s:v>
      </s:c>
      <s:c r="P166" s="39"/>
      <s:c r="R166" s="4" t="s">
        <s:v>26</s:v>
      </s:c>
      <s:c r="S166" s="4">
        <s:v>164</s:v>
      </s:c>
      <s:c r="T166" s="34">
        <s:v>19</s:v>
      </s:c>
      <s:c r="W166" s="4" t="s">
        <s:v>26</s:v>
      </s:c>
      <s:c r="X166" s="4">
        <s:v>164</s:v>
      </s:c>
      <s:c r="Y166" s="9">
        <s:f>Y165+1/3</s:f>
        <s:v>55.333333333333449</s:v>
      </s:c>
      <s:c r="AB166" s="4" t="s">
        <s:v>26</s:v>
      </s:c>
      <s:c r="AC166" s="4">
        <s:v>164</s:v>
      </s:c>
      <s:c r="AD166" s="9">
        <s:f>AD165+1/3</s:f>
        <s:v>55.333333333333449</s:v>
      </s:c>
      <s:c r="AG166" s="4" t="s">
        <s:v>26</s:v>
      </s:c>
      <s:c r="AH166" s="4">
        <s:v>164</s:v>
      </s:c>
      <s:c r="AI166" s="9">
        <s:f>AI165+1/3</s:f>
        <s:v>55.333333333333449</s:v>
      </s:c>
      <s:c r="AL166" s="4" t="s">
        <s:v>26</s:v>
      </s:c>
      <s:c r="AM166" s="4">
        <s:v>164</s:v>
      </s:c>
      <s:c r="AN166" s="9">
        <s:f>AN165+1/3</s:f>
        <s:v>55.333333333333449</s:v>
      </s:c>
      <s:c r="AQ166" s="4" t="s">
        <s:v>26</s:v>
      </s:c>
      <s:c r="AR166" s="4">
        <s:v>164</s:v>
      </s:c>
      <s:c r="AS166" s="9">
        <s:f>AS165+1/3</s:f>
        <s:v>55.333333333333449</s:v>
      </s:c>
      <s:c r="AW166" s="4" t="s">
        <s:v>26</s:v>
      </s:c>
      <s:c r="AX166" s="4">
        <s:v>164</s:v>
      </s:c>
      <s:c r="AY166" s="9">
        <s:f>AY165+1/3</s:f>
        <s:v>55.333333333333449</s:v>
      </s:c>
    </s:row>
    <s:row r="167">
      <s:c r="M167" s="4" t="s">
        <s:v>26</s:v>
      </s:c>
      <s:c r="N167" s="4">
        <s:v>165</s:v>
      </s:c>
      <s:c r="O167" s="34">
        <s:v>19</s:v>
      </s:c>
      <s:c r="P167" s="39"/>
      <s:c r="R167" s="4" t="s">
        <s:v>26</s:v>
      </s:c>
      <s:c r="S167" s="4">
        <s:v>165</s:v>
      </s:c>
      <s:c r="T167" s="34">
        <s:v>19</s:v>
      </s:c>
      <s:c r="W167" s="4" t="s">
        <s:v>26</s:v>
      </s:c>
      <s:c r="X167" s="4">
        <s:v>165</s:v>
      </s:c>
      <s:c r="Y167" s="9">
        <s:f>Y166+1/3</s:f>
        <s:v>55.666666666666785</s:v>
      </s:c>
      <s:c r="AB167" s="4" t="s">
        <s:v>26</s:v>
      </s:c>
      <s:c r="AC167" s="4">
        <s:v>165</s:v>
      </s:c>
      <s:c r="AD167" s="9">
        <s:f>AD166+1/3</s:f>
        <s:v>55.666666666666785</s:v>
      </s:c>
      <s:c r="AG167" s="4" t="s">
        <s:v>26</s:v>
      </s:c>
      <s:c r="AH167" s="4">
        <s:v>165</s:v>
      </s:c>
      <s:c r="AI167" s="9">
        <s:f>AI166+1/3</s:f>
        <s:v>55.666666666666785</s:v>
      </s:c>
      <s:c r="AL167" s="4" t="s">
        <s:v>26</s:v>
      </s:c>
      <s:c r="AM167" s="4">
        <s:v>165</s:v>
      </s:c>
      <s:c r="AN167" s="9">
        <s:f>AN166+1/3</s:f>
        <s:v>55.666666666666785</s:v>
      </s:c>
      <s:c r="AQ167" s="4" t="s">
        <s:v>26</s:v>
      </s:c>
      <s:c r="AR167" s="4">
        <s:v>165</s:v>
      </s:c>
      <s:c r="AS167" s="9">
        <s:f>AS166+1/3</s:f>
        <s:v>55.666666666666785</s:v>
      </s:c>
      <s:c r="AW167" s="4" t="s">
        <s:v>26</s:v>
      </s:c>
      <s:c r="AX167" s="4">
        <s:v>165</s:v>
      </s:c>
      <s:c r="AY167" s="9">
        <s:f>AY166+1/3</s:f>
        <s:v>55.666666666666785</s:v>
      </s:c>
    </s:row>
    <s:row r="168">
      <s:c r="M168" s="4" t="s">
        <s:v>26</s:v>
      </s:c>
      <s:c r="N168" s="4">
        <s:v>166</s:v>
      </s:c>
      <s:c r="O168" s="34">
        <s:v>19</s:v>
      </s:c>
      <s:c r="P168" s="39"/>
      <s:c r="R168" s="4" t="s">
        <s:v>26</s:v>
      </s:c>
      <s:c r="S168" s="4">
        <s:v>166</s:v>
      </s:c>
      <s:c r="T168" s="34">
        <s:v>19</s:v>
      </s:c>
      <s:c r="W168" s="4" t="s">
        <s:v>26</s:v>
      </s:c>
      <s:c r="X168" s="4">
        <s:v>166</s:v>
      </s:c>
      <s:c r="Y168" s="9">
        <s:f>Y167+1/3</s:f>
        <s:v>56.000000000000121</s:v>
      </s:c>
      <s:c r="AB168" s="4" t="s">
        <s:v>26</s:v>
      </s:c>
      <s:c r="AC168" s="4">
        <s:v>166</s:v>
      </s:c>
      <s:c r="AD168" s="9">
        <s:f>AD167+1/3</s:f>
        <s:v>56.000000000000121</s:v>
      </s:c>
      <s:c r="AG168" s="4" t="s">
        <s:v>26</s:v>
      </s:c>
      <s:c r="AH168" s="4">
        <s:v>166</s:v>
      </s:c>
      <s:c r="AI168" s="9">
        <s:f>AI167+1/3</s:f>
        <s:v>56.000000000000121</s:v>
      </s:c>
      <s:c r="AL168" s="4" t="s">
        <s:v>26</s:v>
      </s:c>
      <s:c r="AM168" s="4">
        <s:v>166</s:v>
      </s:c>
      <s:c r="AN168" s="9">
        <s:f>AN167+1/3</s:f>
        <s:v>56.000000000000121</s:v>
      </s:c>
      <s:c r="AQ168" s="4" t="s">
        <s:v>26</s:v>
      </s:c>
      <s:c r="AR168" s="4">
        <s:v>166</s:v>
      </s:c>
      <s:c r="AS168" s="9">
        <s:f>AS167+1/3</s:f>
        <s:v>56.000000000000121</s:v>
      </s:c>
      <s:c r="AW168" s="4" t="s">
        <s:v>26</s:v>
      </s:c>
      <s:c r="AX168" s="4">
        <s:v>166</s:v>
      </s:c>
      <s:c r="AY168" s="9">
        <s:f>AY167+1/3</s:f>
        <s:v>56.000000000000121</s:v>
      </s:c>
    </s:row>
    <s:row r="169">
      <s:c r="M169" s="4" t="s">
        <s:v>26</s:v>
      </s:c>
      <s:c r="N169" s="4">
        <s:v>167</s:v>
      </s:c>
      <s:c r="O169" s="34">
        <s:v>19</s:v>
      </s:c>
      <s:c r="P169" s="39"/>
      <s:c r="R169" s="4" t="s">
        <s:v>26</s:v>
      </s:c>
      <s:c r="S169" s="4">
        <s:v>167</s:v>
      </s:c>
      <s:c r="T169" s="34">
        <s:v>19</s:v>
      </s:c>
      <s:c r="W169" s="4" t="s">
        <s:v>26</s:v>
      </s:c>
      <s:c r="X169" s="4">
        <s:v>167</s:v>
      </s:c>
      <s:c r="Y169" s="9">
        <s:f>Y168+1/3</s:f>
        <s:v>56.333333333333456</s:v>
      </s:c>
      <s:c r="AB169" s="4" t="s">
        <s:v>26</s:v>
      </s:c>
      <s:c r="AC169" s="4">
        <s:v>167</s:v>
      </s:c>
      <s:c r="AD169" s="9">
        <s:f>AD168+1/3</s:f>
        <s:v>56.333333333333456</s:v>
      </s:c>
      <s:c r="AG169" s="4" t="s">
        <s:v>26</s:v>
      </s:c>
      <s:c r="AH169" s="4">
        <s:v>167</s:v>
      </s:c>
      <s:c r="AI169" s="9">
        <s:f>AI168+1/3</s:f>
        <s:v>56.333333333333456</s:v>
      </s:c>
      <s:c r="AL169" s="4" t="s">
        <s:v>26</s:v>
      </s:c>
      <s:c r="AM169" s="4">
        <s:v>167</s:v>
      </s:c>
      <s:c r="AN169" s="9">
        <s:f>AN168+1/3</s:f>
        <s:v>56.333333333333456</s:v>
      </s:c>
      <s:c r="AQ169" s="4" t="s">
        <s:v>26</s:v>
      </s:c>
      <s:c r="AR169" s="4">
        <s:v>167</s:v>
      </s:c>
      <s:c r="AS169" s="9">
        <s:f>AS168+1/3</s:f>
        <s:v>56.333333333333456</s:v>
      </s:c>
      <s:c r="AW169" s="4" t="s">
        <s:v>26</s:v>
      </s:c>
      <s:c r="AX169" s="4">
        <s:v>167</s:v>
      </s:c>
      <s:c r="AY169" s="9">
        <s:f>AY168+1/3</s:f>
        <s:v>56.333333333333456</s:v>
      </s:c>
    </s:row>
    <s:row r="170">
      <s:c r="M170" s="4" t="s">
        <s:v>26</s:v>
      </s:c>
      <s:c r="N170" s="4">
        <s:v>168</s:v>
      </s:c>
      <s:c r="O170" s="34">
        <s:v>19</s:v>
      </s:c>
      <s:c r="P170" s="39"/>
      <s:c r="R170" s="4" t="s">
        <s:v>26</s:v>
      </s:c>
      <s:c r="S170" s="4">
        <s:v>168</s:v>
      </s:c>
      <s:c r="T170" s="34">
        <s:v>19</s:v>
      </s:c>
      <s:c r="W170" s="4" t="s">
        <s:v>26</s:v>
      </s:c>
      <s:c r="X170" s="4">
        <s:v>168</s:v>
      </s:c>
      <s:c r="Y170" s="9">
        <s:f>Y169+1/3</s:f>
        <s:v>56.666666666666792</s:v>
      </s:c>
      <s:c r="AB170" s="4" t="s">
        <s:v>26</s:v>
      </s:c>
      <s:c r="AC170" s="4">
        <s:v>168</s:v>
      </s:c>
      <s:c r="AD170" s="9">
        <s:f>AD169+1/3</s:f>
        <s:v>56.666666666666792</s:v>
      </s:c>
      <s:c r="AG170" s="4" t="s">
        <s:v>26</s:v>
      </s:c>
      <s:c r="AH170" s="4">
        <s:v>168</s:v>
      </s:c>
      <s:c r="AI170" s="9">
        <s:f>AI169+1/3</s:f>
        <s:v>56.666666666666792</s:v>
      </s:c>
      <s:c r="AL170" s="4" t="s">
        <s:v>26</s:v>
      </s:c>
      <s:c r="AM170" s="4">
        <s:v>168</s:v>
      </s:c>
      <s:c r="AN170" s="9">
        <s:f>AN169+1/3</s:f>
        <s:v>56.666666666666792</s:v>
      </s:c>
      <s:c r="AQ170" s="4" t="s">
        <s:v>26</s:v>
      </s:c>
      <s:c r="AR170" s="4">
        <s:v>168</s:v>
      </s:c>
      <s:c r="AS170" s="9">
        <s:f>AS169+1/3</s:f>
        <s:v>56.666666666666792</s:v>
      </s:c>
      <s:c r="AW170" s="4" t="s">
        <s:v>26</s:v>
      </s:c>
      <s:c r="AX170" s="4">
        <s:v>168</s:v>
      </s:c>
      <s:c r="AY170" s="9">
        <s:f>AY169+1/3</s:f>
        <s:v>56.666666666666792</s:v>
      </s:c>
    </s:row>
    <s:row r="171">
      <s:c r="M171" s="4" t="s">
        <s:v>26</s:v>
      </s:c>
      <s:c r="N171" s="4">
        <s:v>169</s:v>
      </s:c>
      <s:c r="O171" s="34">
        <s:v>19</s:v>
      </s:c>
      <s:c r="P171" s="39"/>
      <s:c r="R171" s="4" t="s">
        <s:v>26</s:v>
      </s:c>
      <s:c r="S171" s="4">
        <s:v>169</s:v>
      </s:c>
      <s:c r="T171" s="34">
        <s:v>19</s:v>
      </s:c>
      <s:c r="W171" s="4" t="s">
        <s:v>26</s:v>
      </s:c>
      <s:c r="X171" s="4">
        <s:v>169</s:v>
      </s:c>
      <s:c r="Y171" s="9">
        <s:f>Y170+1/3</s:f>
        <s:v>57.000000000000128</s:v>
      </s:c>
      <s:c r="AB171" s="4" t="s">
        <s:v>26</s:v>
      </s:c>
      <s:c r="AC171" s="4">
        <s:v>169</s:v>
      </s:c>
      <s:c r="AD171" s="9">
        <s:f>AD170+1/3</s:f>
        <s:v>57.000000000000128</s:v>
      </s:c>
      <s:c r="AG171" s="4" t="s">
        <s:v>26</s:v>
      </s:c>
      <s:c r="AH171" s="4">
        <s:v>169</s:v>
      </s:c>
      <s:c r="AI171" s="9">
        <s:f>AI170+1/3</s:f>
        <s:v>57.000000000000128</s:v>
      </s:c>
      <s:c r="AL171" s="4" t="s">
        <s:v>26</s:v>
      </s:c>
      <s:c r="AM171" s="4">
        <s:v>169</s:v>
      </s:c>
      <s:c r="AN171" s="9">
        <s:f>AN170+1/3</s:f>
        <s:v>57.000000000000128</s:v>
      </s:c>
      <s:c r="AQ171" s="4" t="s">
        <s:v>26</s:v>
      </s:c>
      <s:c r="AR171" s="4">
        <s:v>169</s:v>
      </s:c>
      <s:c r="AS171" s="9">
        <s:f>AS170+1/3</s:f>
        <s:v>57.000000000000128</s:v>
      </s:c>
      <s:c r="AW171" s="4" t="s">
        <s:v>26</s:v>
      </s:c>
      <s:c r="AX171" s="4">
        <s:v>169</s:v>
      </s:c>
      <s:c r="AY171" s="9">
        <s:f>AY170+1/3</s:f>
        <s:v>57.000000000000128</s:v>
      </s:c>
    </s:row>
    <s:row r="172">
      <s:c r="M172" s="4" t="s">
        <s:v>26</s:v>
      </s:c>
      <s:c r="N172" s="4">
        <s:v>170</s:v>
      </s:c>
      <s:c r="O172" s="34">
        <s:v>19</s:v>
      </s:c>
      <s:c r="P172" s="39"/>
      <s:c r="R172" s="4" t="s">
        <s:v>26</s:v>
      </s:c>
      <s:c r="S172" s="4">
        <s:v>170</s:v>
      </s:c>
      <s:c r="T172" s="34">
        <s:v>19</s:v>
      </s:c>
      <s:c r="W172" s="4" t="s">
        <s:v>26</s:v>
      </s:c>
      <s:c r="X172" s="4">
        <s:v>170</s:v>
      </s:c>
      <s:c r="Y172" s="9">
        <s:f>Y171+1/3</s:f>
        <s:v>57.333333333333464</s:v>
      </s:c>
      <s:c r="AB172" s="4" t="s">
        <s:v>26</s:v>
      </s:c>
      <s:c r="AC172" s="4">
        <s:v>170</s:v>
      </s:c>
      <s:c r="AD172" s="9">
        <s:f>AD171+1/3</s:f>
        <s:v>57.333333333333464</s:v>
      </s:c>
      <s:c r="AG172" s="4" t="s">
        <s:v>26</s:v>
      </s:c>
      <s:c r="AH172" s="4">
        <s:v>170</s:v>
      </s:c>
      <s:c r="AI172" s="9">
        <s:f>AI171+1/3</s:f>
        <s:v>57.333333333333464</s:v>
      </s:c>
      <s:c r="AL172" s="4" t="s">
        <s:v>26</s:v>
      </s:c>
      <s:c r="AM172" s="4">
        <s:v>170</s:v>
      </s:c>
      <s:c r="AN172" s="9">
        <s:f>AN171+1/3</s:f>
        <s:v>57.333333333333464</s:v>
      </s:c>
      <s:c r="AQ172" s="4" t="s">
        <s:v>26</s:v>
      </s:c>
      <s:c r="AR172" s="4">
        <s:v>170</s:v>
      </s:c>
      <s:c r="AS172" s="9">
        <s:f>AS171+1/3</s:f>
        <s:v>57.333333333333464</s:v>
      </s:c>
      <s:c r="AW172" s="4" t="s">
        <s:v>26</s:v>
      </s:c>
      <s:c r="AX172" s="4">
        <s:v>170</s:v>
      </s:c>
      <s:c r="AY172" s="9">
        <s:f>AY171+1/3</s:f>
        <s:v>57.333333333333464</s:v>
      </s:c>
    </s:row>
    <s:row r="173">
      <s:c r="M173" s="4" t="s">
        <s:v>26</s:v>
      </s:c>
      <s:c r="N173" s="4">
        <s:v>171</s:v>
      </s:c>
      <s:c r="O173" s="34">
        <s:v>19</s:v>
      </s:c>
      <s:c r="P173" s="39"/>
      <s:c r="R173" s="4" t="s">
        <s:v>26</s:v>
      </s:c>
      <s:c r="S173" s="4">
        <s:v>171</s:v>
      </s:c>
      <s:c r="T173" s="34">
        <s:v>19</s:v>
      </s:c>
      <s:c r="W173" s="4" t="s">
        <s:v>26</s:v>
      </s:c>
      <s:c r="X173" s="4">
        <s:v>171</s:v>
      </s:c>
      <s:c r="Y173" s="9">
        <s:f>Y172+1/3</s:f>
        <s:v>57.666666666666799</s:v>
      </s:c>
      <s:c r="AB173" s="4" t="s">
        <s:v>26</s:v>
      </s:c>
      <s:c r="AC173" s="4">
        <s:v>171</s:v>
      </s:c>
      <s:c r="AD173" s="9">
        <s:f>AD172+1/3</s:f>
        <s:v>57.666666666666799</s:v>
      </s:c>
      <s:c r="AG173" s="4" t="s">
        <s:v>26</s:v>
      </s:c>
      <s:c r="AH173" s="4">
        <s:v>171</s:v>
      </s:c>
      <s:c r="AI173" s="9">
        <s:f>AI172+1/3</s:f>
        <s:v>57.666666666666799</s:v>
      </s:c>
      <s:c r="AL173" s="4" t="s">
        <s:v>26</s:v>
      </s:c>
      <s:c r="AM173" s="4">
        <s:v>171</s:v>
      </s:c>
      <s:c r="AN173" s="9">
        <s:f>AN172+1/3</s:f>
        <s:v>57.666666666666799</s:v>
      </s:c>
      <s:c r="AQ173" s="4" t="s">
        <s:v>26</s:v>
      </s:c>
      <s:c r="AR173" s="4">
        <s:v>171</s:v>
      </s:c>
      <s:c r="AS173" s="9">
        <s:f>AS172+1/3</s:f>
        <s:v>57.666666666666799</s:v>
      </s:c>
      <s:c r="AW173" s="4" t="s">
        <s:v>26</s:v>
      </s:c>
      <s:c r="AX173" s="4">
        <s:v>171</s:v>
      </s:c>
      <s:c r="AY173" s="9">
        <s:f>AY172+1/3</s:f>
        <s:v>57.666666666666799</s:v>
      </s:c>
    </s:row>
    <s:row r="174">
      <s:c r="M174" s="4" t="s">
        <s:v>26</s:v>
      </s:c>
      <s:c r="N174" s="4">
        <s:v>172</s:v>
      </s:c>
      <s:c r="O174" s="34">
        <s:v>20</s:v>
      </s:c>
      <s:c r="P174" s="11"/>
      <s:c r="R174" s="4" t="s">
        <s:v>26</s:v>
      </s:c>
      <s:c r="S174" s="4">
        <s:v>172</s:v>
      </s:c>
      <s:c r="T174" s="34">
        <s:v>20</s:v>
      </s:c>
      <s:c r="W174" s="4" t="s">
        <s:v>26</s:v>
      </s:c>
      <s:c r="X174" s="4">
        <s:v>172</s:v>
      </s:c>
      <s:c r="Y174" s="9">
        <s:f>Y173+1/3</s:f>
        <s:v>58.000000000000135</s:v>
      </s:c>
      <s:c r="AB174" s="4" t="s">
        <s:v>26</s:v>
      </s:c>
      <s:c r="AC174" s="4">
        <s:v>172</s:v>
      </s:c>
      <s:c r="AD174" s="9">
        <s:f>AD173+1/3</s:f>
        <s:v>58.000000000000135</s:v>
      </s:c>
      <s:c r="AG174" s="4" t="s">
        <s:v>26</s:v>
      </s:c>
      <s:c r="AH174" s="4">
        <s:v>172</s:v>
      </s:c>
      <s:c r="AI174" s="9">
        <s:f>AI173+1/3</s:f>
        <s:v>58.000000000000135</s:v>
      </s:c>
      <s:c r="AL174" s="4" t="s">
        <s:v>26</s:v>
      </s:c>
      <s:c r="AM174" s="4">
        <s:v>172</s:v>
      </s:c>
      <s:c r="AN174" s="9">
        <s:f>AN173+1/3</s:f>
        <s:v>58.000000000000135</s:v>
      </s:c>
      <s:c r="AQ174" s="4" t="s">
        <s:v>26</s:v>
      </s:c>
      <s:c r="AR174" s="4">
        <s:v>172</s:v>
      </s:c>
      <s:c r="AS174" s="9">
        <s:f>AS173+1/3</s:f>
        <s:v>58.000000000000135</s:v>
      </s:c>
      <s:c r="AW174" s="4" t="s">
        <s:v>26</s:v>
      </s:c>
      <s:c r="AX174" s="4">
        <s:v>172</s:v>
      </s:c>
      <s:c r="AY174" s="9">
        <s:f>AY173+1/3</s:f>
        <s:v>58.000000000000135</s:v>
      </s:c>
    </s:row>
    <s:row r="175">
      <s:c r="M175" s="4" t="s">
        <s:v>26</s:v>
      </s:c>
      <s:c r="N175" s="4">
        <s:v>173</s:v>
      </s:c>
      <s:c r="O175" s="34">
        <s:v>20</s:v>
      </s:c>
      <s:c r="P175" s="11"/>
      <s:c r="R175" s="4" t="s">
        <s:v>26</s:v>
      </s:c>
      <s:c r="S175" s="4">
        <s:v>173</s:v>
      </s:c>
      <s:c r="T175" s="34">
        <s:v>20</s:v>
      </s:c>
      <s:c r="W175" s="4" t="s">
        <s:v>26</s:v>
      </s:c>
      <s:c r="X175" s="4">
        <s:v>173</s:v>
      </s:c>
      <s:c r="Y175" s="9">
        <s:f>Y174+1/3</s:f>
        <s:v>58.333333333333471</s:v>
      </s:c>
      <s:c r="AB175" s="4" t="s">
        <s:v>26</s:v>
      </s:c>
      <s:c r="AC175" s="4">
        <s:v>173</s:v>
      </s:c>
      <s:c r="AD175" s="9">
        <s:f>AD174+1/3</s:f>
        <s:v>58.333333333333471</s:v>
      </s:c>
      <s:c r="AG175" s="4" t="s">
        <s:v>26</s:v>
      </s:c>
      <s:c r="AH175" s="4">
        <s:v>173</s:v>
      </s:c>
      <s:c r="AI175" s="9">
        <s:f>AI174+1/3</s:f>
        <s:v>58.333333333333471</s:v>
      </s:c>
      <s:c r="AL175" s="4" t="s">
        <s:v>26</s:v>
      </s:c>
      <s:c r="AM175" s="4">
        <s:v>173</s:v>
      </s:c>
      <s:c r="AN175" s="9">
        <s:f>AN174+1/3</s:f>
        <s:v>58.333333333333471</s:v>
      </s:c>
      <s:c r="AQ175" s="4" t="s">
        <s:v>26</s:v>
      </s:c>
      <s:c r="AR175" s="4">
        <s:v>173</s:v>
      </s:c>
      <s:c r="AS175" s="9">
        <s:f>AS174+1/3</s:f>
        <s:v>58.333333333333471</s:v>
      </s:c>
      <s:c r="AW175" s="4" t="s">
        <s:v>26</s:v>
      </s:c>
      <s:c r="AX175" s="4">
        <s:v>173</s:v>
      </s:c>
      <s:c r="AY175" s="9">
        <s:f>AY174+1/3</s:f>
        <s:v>58.333333333333471</s:v>
      </s:c>
    </s:row>
    <s:row r="176">
      <s:c r="M176" s="4" t="s">
        <s:v>26</s:v>
      </s:c>
      <s:c r="N176" s="4">
        <s:v>174</s:v>
      </s:c>
      <s:c r="O176" s="34">
        <s:v>20</s:v>
      </s:c>
      <s:c r="P176" s="11"/>
      <s:c r="R176" s="4" t="s">
        <s:v>26</s:v>
      </s:c>
      <s:c r="S176" s="4">
        <s:v>174</s:v>
      </s:c>
      <s:c r="T176" s="34">
        <s:v>20</s:v>
      </s:c>
      <s:c r="W176" s="4" t="s">
        <s:v>26</s:v>
      </s:c>
      <s:c r="X176" s="4">
        <s:v>174</s:v>
      </s:c>
      <s:c r="Y176" s="9">
        <s:f>Y175+1/3</s:f>
        <s:v>58.666666666666806</s:v>
      </s:c>
      <s:c r="AB176" s="4" t="s">
        <s:v>26</s:v>
      </s:c>
      <s:c r="AC176" s="4">
        <s:v>174</s:v>
      </s:c>
      <s:c r="AD176" s="9">
        <s:f>AD175+1/3</s:f>
        <s:v>58.666666666666806</s:v>
      </s:c>
      <s:c r="AG176" s="4" t="s">
        <s:v>26</s:v>
      </s:c>
      <s:c r="AH176" s="4">
        <s:v>174</s:v>
      </s:c>
      <s:c r="AI176" s="9">
        <s:f>AI175+1/3</s:f>
        <s:v>58.666666666666806</s:v>
      </s:c>
      <s:c r="AL176" s="4" t="s">
        <s:v>26</s:v>
      </s:c>
      <s:c r="AM176" s="4">
        <s:v>174</s:v>
      </s:c>
      <s:c r="AN176" s="9">
        <s:f>AN175+1/3</s:f>
        <s:v>58.666666666666806</s:v>
      </s:c>
      <s:c r="AQ176" s="4" t="s">
        <s:v>26</s:v>
      </s:c>
      <s:c r="AR176" s="4">
        <s:v>174</s:v>
      </s:c>
      <s:c r="AS176" s="9">
        <s:f>AS175+1/3</s:f>
        <s:v>58.666666666666806</s:v>
      </s:c>
      <s:c r="AW176" s="4" t="s">
        <s:v>26</s:v>
      </s:c>
      <s:c r="AX176" s="4">
        <s:v>174</s:v>
      </s:c>
      <s:c r="AY176" s="9">
        <s:f>AY175+1/3</s:f>
        <s:v>58.666666666666806</s:v>
      </s:c>
    </s:row>
    <s:row r="177">
      <s:c r="M177" s="4" t="s">
        <s:v>26</s:v>
      </s:c>
      <s:c r="N177" s="4">
        <s:v>175</s:v>
      </s:c>
      <s:c r="O177" s="34">
        <s:v>20</s:v>
      </s:c>
      <s:c r="P177" s="11"/>
      <s:c r="R177" s="4" t="s">
        <s:v>26</s:v>
      </s:c>
      <s:c r="S177" s="4">
        <s:v>175</s:v>
      </s:c>
      <s:c r="T177" s="34">
        <s:v>20</s:v>
      </s:c>
      <s:c r="W177" s="4" t="s">
        <s:v>26</s:v>
      </s:c>
      <s:c r="X177" s="4">
        <s:v>175</s:v>
      </s:c>
      <s:c r="Y177" s="9">
        <s:f>Y176+1/3</s:f>
        <s:v>59.000000000000142</s:v>
      </s:c>
      <s:c r="AB177" s="4" t="s">
        <s:v>26</s:v>
      </s:c>
      <s:c r="AC177" s="4">
        <s:v>175</s:v>
      </s:c>
      <s:c r="AD177" s="9">
        <s:f>AD176+1/3</s:f>
        <s:v>59.000000000000142</s:v>
      </s:c>
      <s:c r="AG177" s="4" t="s">
        <s:v>26</s:v>
      </s:c>
      <s:c r="AH177" s="4">
        <s:v>175</s:v>
      </s:c>
      <s:c r="AI177" s="9">
        <s:f>AI176+1/3</s:f>
        <s:v>59.000000000000142</s:v>
      </s:c>
      <s:c r="AL177" s="4" t="s">
        <s:v>26</s:v>
      </s:c>
      <s:c r="AM177" s="4">
        <s:v>175</s:v>
      </s:c>
      <s:c r="AN177" s="9">
        <s:f>AN176+1/3</s:f>
        <s:v>59.000000000000142</s:v>
      </s:c>
      <s:c r="AQ177" s="4" t="s">
        <s:v>26</s:v>
      </s:c>
      <s:c r="AR177" s="4">
        <s:v>175</s:v>
      </s:c>
      <s:c r="AS177" s="9">
        <s:f>AS176+1/3</s:f>
        <s:v>59.000000000000142</s:v>
      </s:c>
      <s:c r="AW177" s="4" t="s">
        <s:v>26</s:v>
      </s:c>
      <s:c r="AX177" s="4">
        <s:v>175</s:v>
      </s:c>
      <s:c r="AY177" s="9">
        <s:f>AY176+1/3</s:f>
        <s:v>59.000000000000142</s:v>
      </s:c>
    </s:row>
    <s:row r="178">
      <s:c r="M178" s="4" t="s">
        <s:v>26</s:v>
      </s:c>
      <s:c r="N178" s="4">
        <s:v>176</s:v>
      </s:c>
      <s:c r="O178" s="34">
        <s:v>20</s:v>
      </s:c>
      <s:c r="P178" s="11"/>
      <s:c r="R178" s="4" t="s">
        <s:v>26</s:v>
      </s:c>
      <s:c r="S178" s="4">
        <s:v>176</s:v>
      </s:c>
      <s:c r="T178" s="34">
        <s:v>20</s:v>
      </s:c>
      <s:c r="W178" s="4" t="s">
        <s:v>26</s:v>
      </s:c>
      <s:c r="X178" s="4">
        <s:v>176</s:v>
      </s:c>
      <s:c r="Y178" s="9">
        <s:f>Y177+1/3</s:f>
        <s:v>59.333333333333478</s:v>
      </s:c>
      <s:c r="AB178" s="4" t="s">
        <s:v>26</s:v>
      </s:c>
      <s:c r="AC178" s="4">
        <s:v>176</s:v>
      </s:c>
      <s:c r="AD178" s="9">
        <s:f>AD177+1/3</s:f>
        <s:v>59.333333333333478</s:v>
      </s:c>
      <s:c r="AG178" s="4" t="s">
        <s:v>26</s:v>
      </s:c>
      <s:c r="AH178" s="4">
        <s:v>176</s:v>
      </s:c>
      <s:c r="AI178" s="9">
        <s:f>AI177+1/3</s:f>
        <s:v>59.333333333333478</s:v>
      </s:c>
      <s:c r="AL178" s="4" t="s">
        <s:v>26</s:v>
      </s:c>
      <s:c r="AM178" s="4">
        <s:v>176</s:v>
      </s:c>
      <s:c r="AN178" s="9">
        <s:f>AN177+1/3</s:f>
        <s:v>59.333333333333478</s:v>
      </s:c>
      <s:c r="AQ178" s="4" t="s">
        <s:v>26</s:v>
      </s:c>
      <s:c r="AR178" s="4">
        <s:v>176</s:v>
      </s:c>
      <s:c r="AS178" s="9">
        <s:f>AS177+1/3</s:f>
        <s:v>59.333333333333478</s:v>
      </s:c>
      <s:c r="AW178" s="4" t="s">
        <s:v>26</s:v>
      </s:c>
      <s:c r="AX178" s="4">
        <s:v>176</s:v>
      </s:c>
      <s:c r="AY178" s="9">
        <s:f>AY177+1/3</s:f>
        <s:v>59.333333333333478</s:v>
      </s:c>
    </s:row>
    <s:row r="179">
      <s:c r="M179" s="4" t="s">
        <s:v>26</s:v>
      </s:c>
      <s:c r="N179" s="4">
        <s:v>177</s:v>
      </s:c>
      <s:c r="O179" s="34">
        <s:v>20</s:v>
      </s:c>
      <s:c r="P179" s="11"/>
      <s:c r="R179" s="4" t="s">
        <s:v>26</s:v>
      </s:c>
      <s:c r="S179" s="4">
        <s:v>177</s:v>
      </s:c>
      <s:c r="T179" s="34">
        <s:v>20</s:v>
      </s:c>
      <s:c r="W179" s="4" t="s">
        <s:v>26</s:v>
      </s:c>
      <s:c r="X179" s="4">
        <s:v>177</s:v>
      </s:c>
      <s:c r="Y179" s="9">
        <s:f>Y178+1/3</s:f>
        <s:v>59.666666666666814</s:v>
      </s:c>
      <s:c r="AB179" s="4" t="s">
        <s:v>26</s:v>
      </s:c>
      <s:c r="AC179" s="4">
        <s:v>177</s:v>
      </s:c>
      <s:c r="AD179" s="9">
        <s:f>AD178+1/3</s:f>
        <s:v>59.666666666666814</s:v>
      </s:c>
      <s:c r="AG179" s="4" t="s">
        <s:v>26</s:v>
      </s:c>
      <s:c r="AH179" s="4">
        <s:v>177</s:v>
      </s:c>
      <s:c r="AI179" s="9">
        <s:f>AI178+1/3</s:f>
        <s:v>59.666666666666814</s:v>
      </s:c>
      <s:c r="AL179" s="4" t="s">
        <s:v>26</s:v>
      </s:c>
      <s:c r="AM179" s="4">
        <s:v>177</s:v>
      </s:c>
      <s:c r="AN179" s="9">
        <s:f>AN178+1/3</s:f>
        <s:v>59.666666666666814</s:v>
      </s:c>
      <s:c r="AQ179" s="4" t="s">
        <s:v>26</s:v>
      </s:c>
      <s:c r="AR179" s="4">
        <s:v>177</s:v>
      </s:c>
      <s:c r="AS179" s="9">
        <s:f>AS178+1/3</s:f>
        <s:v>59.666666666666814</s:v>
      </s:c>
      <s:c r="AW179" s="4" t="s">
        <s:v>26</s:v>
      </s:c>
      <s:c r="AX179" s="4">
        <s:v>177</s:v>
      </s:c>
      <s:c r="AY179" s="9">
        <s:f>AY178+1/3</s:f>
        <s:v>59.666666666666814</s:v>
      </s:c>
    </s:row>
    <s:row r="180">
      <s:c r="M180" s="4" t="s">
        <s:v>26</s:v>
      </s:c>
      <s:c r="N180" s="4">
        <s:v>178</s:v>
      </s:c>
      <s:c r="O180" s="34">
        <s:v>20</s:v>
      </s:c>
      <s:c r="P180" s="11"/>
      <s:c r="R180" s="4" t="s">
        <s:v>26</s:v>
      </s:c>
      <s:c r="S180" s="4">
        <s:v>178</s:v>
      </s:c>
      <s:c r="T180" s="34">
        <s:v>20</s:v>
      </s:c>
      <s:c r="W180" s="4" t="s">
        <s:v>26</s:v>
      </s:c>
      <s:c r="X180" s="4">
        <s:v>178</s:v>
      </s:c>
      <s:c r="Y180" s="9">
        <s:f>Y179+1/3</s:f>
        <s:v>60.000000000000149</s:v>
      </s:c>
      <s:c r="AB180" s="4" t="s">
        <s:v>26</s:v>
      </s:c>
      <s:c r="AC180" s="4">
        <s:v>178</s:v>
      </s:c>
      <s:c r="AD180" s="9">
        <s:f>AD179+1/3</s:f>
        <s:v>60.000000000000149</s:v>
      </s:c>
      <s:c r="AG180" s="4" t="s">
        <s:v>26</s:v>
      </s:c>
      <s:c r="AH180" s="4">
        <s:v>178</s:v>
      </s:c>
      <s:c r="AI180" s="9">
        <s:f>AI179+1/3</s:f>
        <s:v>60.000000000000149</s:v>
      </s:c>
      <s:c r="AL180" s="4" t="s">
        <s:v>26</s:v>
      </s:c>
      <s:c r="AM180" s="4">
        <s:v>178</s:v>
      </s:c>
      <s:c r="AN180" s="9">
        <s:f>AN179+1/3</s:f>
        <s:v>60.000000000000149</s:v>
      </s:c>
      <s:c r="AQ180" s="4" t="s">
        <s:v>26</s:v>
      </s:c>
      <s:c r="AR180" s="4">
        <s:v>178</s:v>
      </s:c>
      <s:c r="AS180" s="9">
        <s:f>AS179+1/3</s:f>
        <s:v>60.000000000000149</s:v>
      </s:c>
      <s:c r="AW180" s="4" t="s">
        <s:v>26</s:v>
      </s:c>
      <s:c r="AX180" s="4">
        <s:v>178</s:v>
      </s:c>
      <s:c r="AY180" s="9">
        <s:f>AY179+1/3</s:f>
        <s:v>60.000000000000149</s:v>
      </s:c>
    </s:row>
    <s:row r="181">
      <s:c r="M181" s="4" t="s">
        <s:v>26</s:v>
      </s:c>
      <s:c r="N181" s="4">
        <s:v>179</s:v>
      </s:c>
      <s:c r="O181" s="34">
        <s:v>20</s:v>
      </s:c>
      <s:c r="P181" s="11"/>
      <s:c r="R181" s="4" t="s">
        <s:v>26</s:v>
      </s:c>
      <s:c r="S181" s="4">
        <s:v>179</s:v>
      </s:c>
      <s:c r="T181" s="34">
        <s:v>20</s:v>
      </s:c>
      <s:c r="W181" s="4" t="s">
        <s:v>26</s:v>
      </s:c>
      <s:c r="X181" s="4">
        <s:v>179</s:v>
      </s:c>
      <s:c r="Y181" s="9">
        <s:f>Y180+1/3</s:f>
        <s:v>60.333333333333485</s:v>
      </s:c>
      <s:c r="AB181" s="4" t="s">
        <s:v>26</s:v>
      </s:c>
      <s:c r="AC181" s="4">
        <s:v>179</s:v>
      </s:c>
      <s:c r="AD181" s="9">
        <s:f>AD180+1/3</s:f>
        <s:v>60.333333333333485</s:v>
      </s:c>
      <s:c r="AG181" s="4" t="s">
        <s:v>26</s:v>
      </s:c>
      <s:c r="AH181" s="4">
        <s:v>179</s:v>
      </s:c>
      <s:c r="AI181" s="9">
        <s:f>AI180+1/3</s:f>
        <s:v>60.333333333333485</s:v>
      </s:c>
      <s:c r="AL181" s="4" t="s">
        <s:v>26</s:v>
      </s:c>
      <s:c r="AM181" s="4">
        <s:v>179</s:v>
      </s:c>
      <s:c r="AN181" s="9">
        <s:f>AN180+1/3</s:f>
        <s:v>60.333333333333485</s:v>
      </s:c>
      <s:c r="AQ181" s="4" t="s">
        <s:v>26</s:v>
      </s:c>
      <s:c r="AR181" s="4">
        <s:v>179</s:v>
      </s:c>
      <s:c r="AS181" s="9">
        <s:f>AS180+1/3</s:f>
        <s:v>60.333333333333485</s:v>
      </s:c>
      <s:c r="AW181" s="4" t="s">
        <s:v>26</s:v>
      </s:c>
      <s:c r="AX181" s="4">
        <s:v>179</s:v>
      </s:c>
      <s:c r="AY181" s="9">
        <s:f>AY180+1/3</s:f>
        <s:v>60.333333333333485</s:v>
      </s:c>
    </s:row>
    <s:row r="182">
      <s:c r="M182" s="4" t="s">
        <s:v>26</s:v>
      </s:c>
      <s:c r="N182" s="4">
        <s:v>180</s:v>
      </s:c>
      <s:c r="O182" s="34">
        <s:v>20</s:v>
      </s:c>
      <s:c r="P182" s="11"/>
      <s:c r="R182" s="4" t="s">
        <s:v>26</s:v>
      </s:c>
      <s:c r="S182" s="4">
        <s:v>180</s:v>
      </s:c>
      <s:c r="T182" s="34">
        <s:v>20</s:v>
      </s:c>
      <s:c r="W182" s="4" t="s">
        <s:v>26</s:v>
      </s:c>
      <s:c r="X182" s="4">
        <s:v>180</s:v>
      </s:c>
      <s:c r="Y182" s="9">
        <s:f>Y181+1/3</s:f>
        <s:v>60.666666666666821</s:v>
      </s:c>
      <s:c r="AB182" s="4" t="s">
        <s:v>26</s:v>
      </s:c>
      <s:c r="AC182" s="4">
        <s:v>180</s:v>
      </s:c>
      <s:c r="AD182" s="9">
        <s:f>AD181+1/3</s:f>
        <s:v>60.666666666666821</s:v>
      </s:c>
      <s:c r="AG182" s="4" t="s">
        <s:v>26</s:v>
      </s:c>
      <s:c r="AH182" s="4">
        <s:v>180</s:v>
      </s:c>
      <s:c r="AI182" s="9">
        <s:f>AI181+1/3</s:f>
        <s:v>60.666666666666821</s:v>
      </s:c>
      <s:c r="AL182" s="4" t="s">
        <s:v>26</s:v>
      </s:c>
      <s:c r="AM182" s="4">
        <s:v>180</s:v>
      </s:c>
      <s:c r="AN182" s="9">
        <s:f>AN181+1/3</s:f>
        <s:v>60.666666666666821</s:v>
      </s:c>
      <s:c r="AQ182" s="4" t="s">
        <s:v>26</s:v>
      </s:c>
      <s:c r="AR182" s="4">
        <s:v>180</s:v>
      </s:c>
      <s:c r="AS182" s="9">
        <s:f>AS181+1/3</s:f>
        <s:v>60.666666666666821</s:v>
      </s:c>
      <s:c r="AW182" s="4" t="s">
        <s:v>26</s:v>
      </s:c>
      <s:c r="AX182" s="4">
        <s:v>180</s:v>
      </s:c>
      <s:c r="AY182" s="9">
        <s:f>AY181+1/3</s:f>
        <s:v>60.666666666666821</s:v>
      </s:c>
    </s:row>
    <s:row r="183">
      <s:c r="M183" s="4" t="s">
        <s:v>26</s:v>
      </s:c>
      <s:c r="N183" s="4">
        <s:v>181</s:v>
      </s:c>
      <s:c r="O183" s="34">
        <s:v>21</s:v>
      </s:c>
      <s:c r="P183" s="39"/>
      <s:c r="R183" s="4" t="s">
        <s:v>26</s:v>
      </s:c>
      <s:c r="S183" s="4">
        <s:v>181</s:v>
      </s:c>
      <s:c r="T183" s="34">
        <s:v>21</s:v>
      </s:c>
      <s:c r="W183" s="4" t="s">
        <s:v>26</s:v>
      </s:c>
      <s:c r="X183" s="4">
        <s:v>181</s:v>
      </s:c>
      <s:c r="Y183" s="9">
        <s:f>Y182+1/3</s:f>
        <s:v>61.000000000000156</s:v>
      </s:c>
      <s:c r="AB183" s="4" t="s">
        <s:v>26</s:v>
      </s:c>
      <s:c r="AC183" s="4">
        <s:v>181</s:v>
      </s:c>
      <s:c r="AD183" s="9">
        <s:f>AD182+1/3</s:f>
        <s:v>61.000000000000156</s:v>
      </s:c>
      <s:c r="AG183" s="4" t="s">
        <s:v>26</s:v>
      </s:c>
      <s:c r="AH183" s="4">
        <s:v>181</s:v>
      </s:c>
      <s:c r="AI183" s="9">
        <s:f>AI182+1/3</s:f>
        <s:v>61.000000000000156</s:v>
      </s:c>
      <s:c r="AL183" s="4" t="s">
        <s:v>26</s:v>
      </s:c>
      <s:c r="AM183" s="4">
        <s:v>181</s:v>
      </s:c>
      <s:c r="AN183" s="9">
        <s:f>AN182+1/3</s:f>
        <s:v>61.000000000000156</s:v>
      </s:c>
      <s:c r="AQ183" s="4" t="s">
        <s:v>26</s:v>
      </s:c>
      <s:c r="AR183" s="4">
        <s:v>181</s:v>
      </s:c>
      <s:c r="AS183" s="9">
        <s:f>AS182+1/3</s:f>
        <s:v>61.000000000000156</s:v>
      </s:c>
      <s:c r="AW183" s="4" t="s">
        <s:v>26</s:v>
      </s:c>
      <s:c r="AX183" s="4">
        <s:v>181</s:v>
      </s:c>
      <s:c r="AY183" s="9">
        <s:f>AY182+1/3</s:f>
        <s:v>61.000000000000156</s:v>
      </s:c>
    </s:row>
    <s:row r="184">
      <s:c r="M184" s="4" t="s">
        <s:v>26</s:v>
      </s:c>
      <s:c r="N184" s="4">
        <s:v>182</s:v>
      </s:c>
      <s:c r="O184" s="34">
        <s:v>21</s:v>
      </s:c>
      <s:c r="P184" s="39"/>
      <s:c r="R184" s="4" t="s">
        <s:v>26</s:v>
      </s:c>
      <s:c r="S184" s="4">
        <s:v>182</s:v>
      </s:c>
      <s:c r="T184" s="34">
        <s:v>21</s:v>
      </s:c>
      <s:c r="W184" s="4" t="s">
        <s:v>26</s:v>
      </s:c>
      <s:c r="X184" s="4">
        <s:v>182</s:v>
      </s:c>
      <s:c r="Y184" s="9">
        <s:f>Y183+1/3</s:f>
        <s:v>61.333333333333492</s:v>
      </s:c>
      <s:c r="AB184" s="4" t="s">
        <s:v>26</s:v>
      </s:c>
      <s:c r="AC184" s="4">
        <s:v>182</s:v>
      </s:c>
      <s:c r="AD184" s="9">
        <s:f>AD183+1/3</s:f>
        <s:v>61.333333333333492</s:v>
      </s:c>
      <s:c r="AG184" s="4" t="s">
        <s:v>26</s:v>
      </s:c>
      <s:c r="AH184" s="4">
        <s:v>182</s:v>
      </s:c>
      <s:c r="AI184" s="9">
        <s:f>AI183+1/3</s:f>
        <s:v>61.333333333333492</s:v>
      </s:c>
      <s:c r="AL184" s="4" t="s">
        <s:v>26</s:v>
      </s:c>
      <s:c r="AM184" s="4">
        <s:v>182</s:v>
      </s:c>
      <s:c r="AN184" s="9">
        <s:f>AN183+1/3</s:f>
        <s:v>61.333333333333492</s:v>
      </s:c>
      <s:c r="AQ184" s="4" t="s">
        <s:v>26</s:v>
      </s:c>
      <s:c r="AR184" s="4">
        <s:v>182</s:v>
      </s:c>
      <s:c r="AS184" s="9">
        <s:f>AS183+1/3</s:f>
        <s:v>61.333333333333492</s:v>
      </s:c>
      <s:c r="AW184" s="4" t="s">
        <s:v>26</s:v>
      </s:c>
      <s:c r="AX184" s="4">
        <s:v>182</s:v>
      </s:c>
      <s:c r="AY184" s="9">
        <s:f>AY183+1/3</s:f>
        <s:v>61.333333333333492</s:v>
      </s:c>
    </s:row>
    <s:row r="185">
      <s:c r="M185" s="4" t="s">
        <s:v>26</s:v>
      </s:c>
      <s:c r="N185" s="4">
        <s:v>183</s:v>
      </s:c>
      <s:c r="O185" s="34">
        <s:v>21</s:v>
      </s:c>
      <s:c r="P185" s="39"/>
      <s:c r="R185" s="4" t="s">
        <s:v>26</s:v>
      </s:c>
      <s:c r="S185" s="4">
        <s:v>183</s:v>
      </s:c>
      <s:c r="T185" s="34">
        <s:v>21</s:v>
      </s:c>
      <s:c r="W185" s="4" t="s">
        <s:v>26</s:v>
      </s:c>
      <s:c r="X185" s="4">
        <s:v>183</s:v>
      </s:c>
      <s:c r="Y185" s="9">
        <s:f>Y184+1/3</s:f>
        <s:v>61.666666666666828</s:v>
      </s:c>
      <s:c r="AB185" s="4" t="s">
        <s:v>26</s:v>
      </s:c>
      <s:c r="AC185" s="4">
        <s:v>183</s:v>
      </s:c>
      <s:c r="AD185" s="9">
        <s:f>AD184+1/3</s:f>
        <s:v>61.666666666666828</s:v>
      </s:c>
      <s:c r="AG185" s="4" t="s">
        <s:v>26</s:v>
      </s:c>
      <s:c r="AH185" s="4">
        <s:v>183</s:v>
      </s:c>
      <s:c r="AI185" s="9">
        <s:f>AI184+1/3</s:f>
        <s:v>61.666666666666828</s:v>
      </s:c>
      <s:c r="AL185" s="4" t="s">
        <s:v>26</s:v>
      </s:c>
      <s:c r="AM185" s="4">
        <s:v>183</s:v>
      </s:c>
      <s:c r="AN185" s="9">
        <s:f>AN184+1/3</s:f>
        <s:v>61.666666666666828</s:v>
      </s:c>
      <s:c r="AQ185" s="4" t="s">
        <s:v>26</s:v>
      </s:c>
      <s:c r="AR185" s="4">
        <s:v>183</s:v>
      </s:c>
      <s:c r="AS185" s="9">
        <s:f>AS184+1/3</s:f>
        <s:v>61.666666666666828</s:v>
      </s:c>
      <s:c r="AW185" s="4" t="s">
        <s:v>26</s:v>
      </s:c>
      <s:c r="AX185" s="4">
        <s:v>183</s:v>
      </s:c>
      <s:c r="AY185" s="9">
        <s:f>AY184+1/3</s:f>
        <s:v>61.666666666666828</s:v>
      </s:c>
    </s:row>
    <s:row r="186">
      <s:c r="M186" s="4" t="s">
        <s:v>26</s:v>
      </s:c>
      <s:c r="N186" s="4">
        <s:v>184</s:v>
      </s:c>
      <s:c r="O186" s="34">
        <s:v>21</s:v>
      </s:c>
      <s:c r="P186" s="39"/>
      <s:c r="R186" s="4" t="s">
        <s:v>26</s:v>
      </s:c>
      <s:c r="S186" s="4">
        <s:v>184</s:v>
      </s:c>
      <s:c r="T186" s="34">
        <s:v>21</s:v>
      </s:c>
      <s:c r="W186" s="4" t="s">
        <s:v>26</s:v>
      </s:c>
      <s:c r="X186" s="4">
        <s:v>184</s:v>
      </s:c>
      <s:c r="Y186" s="9">
        <s:f>Y185+1/3</s:f>
        <s:v>62.000000000000163</s:v>
      </s:c>
      <s:c r="AB186" s="4" t="s">
        <s:v>26</s:v>
      </s:c>
      <s:c r="AC186" s="4">
        <s:v>184</s:v>
      </s:c>
      <s:c r="AD186" s="9">
        <s:f>AD185+1/3</s:f>
        <s:v>62.000000000000163</s:v>
      </s:c>
      <s:c r="AG186" s="4" t="s">
        <s:v>26</s:v>
      </s:c>
      <s:c r="AH186" s="4">
        <s:v>184</s:v>
      </s:c>
      <s:c r="AI186" s="9">
        <s:f>AI185+1/3</s:f>
        <s:v>62.000000000000163</s:v>
      </s:c>
      <s:c r="AL186" s="4" t="s">
        <s:v>26</s:v>
      </s:c>
      <s:c r="AM186" s="4">
        <s:v>184</s:v>
      </s:c>
      <s:c r="AN186" s="9">
        <s:f>AN185+1/3</s:f>
        <s:v>62.000000000000163</s:v>
      </s:c>
      <s:c r="AQ186" s="4" t="s">
        <s:v>26</s:v>
      </s:c>
      <s:c r="AR186" s="4">
        <s:v>184</s:v>
      </s:c>
      <s:c r="AS186" s="9">
        <s:f>AS185+1/3</s:f>
        <s:v>62.000000000000163</s:v>
      </s:c>
      <s:c r="AW186" s="4" t="s">
        <s:v>26</s:v>
      </s:c>
      <s:c r="AX186" s="4">
        <s:v>184</s:v>
      </s:c>
      <s:c r="AY186" s="9">
        <s:f>AY185+1/3</s:f>
        <s:v>62.000000000000163</s:v>
      </s:c>
    </s:row>
    <s:row r="187">
      <s:c r="M187" s="4" t="s">
        <s:v>26</s:v>
      </s:c>
      <s:c r="N187" s="4">
        <s:v>185</s:v>
      </s:c>
      <s:c r="O187" s="34">
        <s:v>21</s:v>
      </s:c>
      <s:c r="P187" s="39"/>
      <s:c r="R187" s="4" t="s">
        <s:v>26</s:v>
      </s:c>
      <s:c r="S187" s="4">
        <s:v>185</s:v>
      </s:c>
      <s:c r="T187" s="34">
        <s:v>21</s:v>
      </s:c>
      <s:c r="W187" s="4" t="s">
        <s:v>26</s:v>
      </s:c>
      <s:c r="X187" s="4">
        <s:v>185</s:v>
      </s:c>
      <s:c r="Y187" s="9">
        <s:f>Y186+1/3</s:f>
        <s:v>62.333333333333499</s:v>
      </s:c>
      <s:c r="AB187" s="4" t="s">
        <s:v>26</s:v>
      </s:c>
      <s:c r="AC187" s="4">
        <s:v>185</s:v>
      </s:c>
      <s:c r="AD187" s="9">
        <s:f>AD186+1/3</s:f>
        <s:v>62.333333333333499</s:v>
      </s:c>
      <s:c r="AG187" s="4" t="s">
        <s:v>26</s:v>
      </s:c>
      <s:c r="AH187" s="4">
        <s:v>185</s:v>
      </s:c>
      <s:c r="AI187" s="9">
        <s:f>AI186+1/3</s:f>
        <s:v>62.333333333333499</s:v>
      </s:c>
      <s:c r="AL187" s="4" t="s">
        <s:v>26</s:v>
      </s:c>
      <s:c r="AM187" s="4">
        <s:v>185</s:v>
      </s:c>
      <s:c r="AN187" s="9">
        <s:f>AN186+1/3</s:f>
        <s:v>62.333333333333499</s:v>
      </s:c>
      <s:c r="AQ187" s="4" t="s">
        <s:v>26</s:v>
      </s:c>
      <s:c r="AR187" s="4">
        <s:v>185</s:v>
      </s:c>
      <s:c r="AS187" s="9">
        <s:f>AS186+1/3</s:f>
        <s:v>62.333333333333499</s:v>
      </s:c>
      <s:c r="AW187" s="4" t="s">
        <s:v>26</s:v>
      </s:c>
      <s:c r="AX187" s="4">
        <s:v>185</s:v>
      </s:c>
      <s:c r="AY187" s="9">
        <s:f>AY186+1/3</s:f>
        <s:v>62.333333333333499</s:v>
      </s:c>
    </s:row>
    <s:row r="188">
      <s:c r="M188" s="4" t="s">
        <s:v>26</s:v>
      </s:c>
      <s:c r="N188" s="4">
        <s:v>186</s:v>
      </s:c>
      <s:c r="O188" s="34">
        <s:v>21</s:v>
      </s:c>
      <s:c r="P188" s="39"/>
      <s:c r="R188" s="4" t="s">
        <s:v>26</s:v>
      </s:c>
      <s:c r="S188" s="4">
        <s:v>186</s:v>
      </s:c>
      <s:c r="T188" s="34">
        <s:v>21</s:v>
      </s:c>
      <s:c r="W188" s="4" t="s">
        <s:v>26</s:v>
      </s:c>
      <s:c r="X188" s="4">
        <s:v>186</s:v>
      </s:c>
      <s:c r="Y188" s="9">
        <s:f>Y187+1/3</s:f>
        <s:v>62.666666666666835</s:v>
      </s:c>
      <s:c r="AB188" s="4" t="s">
        <s:v>26</s:v>
      </s:c>
      <s:c r="AC188" s="4">
        <s:v>186</s:v>
      </s:c>
      <s:c r="AD188" s="9">
        <s:f>AD187+1/3</s:f>
        <s:v>62.666666666666835</s:v>
      </s:c>
      <s:c r="AG188" s="4" t="s">
        <s:v>26</s:v>
      </s:c>
      <s:c r="AH188" s="4">
        <s:v>186</s:v>
      </s:c>
      <s:c r="AI188" s="9">
        <s:f>AI187+1/3</s:f>
        <s:v>62.666666666666835</s:v>
      </s:c>
      <s:c r="AL188" s="4" t="s">
        <s:v>26</s:v>
      </s:c>
      <s:c r="AM188" s="4">
        <s:v>186</s:v>
      </s:c>
      <s:c r="AN188" s="9">
        <s:f>AN187+1/3</s:f>
        <s:v>62.666666666666835</s:v>
      </s:c>
      <s:c r="AQ188" s="4" t="s">
        <s:v>26</s:v>
      </s:c>
      <s:c r="AR188" s="4">
        <s:v>186</s:v>
      </s:c>
      <s:c r="AS188" s="9">
        <s:f>AS187+1/3</s:f>
        <s:v>62.666666666666835</s:v>
      </s:c>
      <s:c r="AW188" s="4" t="s">
        <s:v>26</s:v>
      </s:c>
      <s:c r="AX188" s="4">
        <s:v>186</s:v>
      </s:c>
      <s:c r="AY188" s="9">
        <s:f>AY187+1/3</s:f>
        <s:v>62.666666666666835</s:v>
      </s:c>
    </s:row>
    <s:row r="189">
      <s:c r="M189" s="4" t="s">
        <s:v>26</s:v>
      </s:c>
      <s:c r="N189" s="4">
        <s:v>187</s:v>
      </s:c>
      <s:c r="O189" s="34">
        <s:v>21</s:v>
      </s:c>
      <s:c r="P189" s="39"/>
      <s:c r="R189" s="4" t="s">
        <s:v>26</s:v>
      </s:c>
      <s:c r="S189" s="4">
        <s:v>187</s:v>
      </s:c>
      <s:c r="T189" s="34">
        <s:v>21</s:v>
      </s:c>
      <s:c r="W189" s="4" t="s">
        <s:v>26</s:v>
      </s:c>
      <s:c r="X189" s="4">
        <s:v>187</s:v>
      </s:c>
      <s:c r="Y189" s="9">
        <s:f>Y188+1/3</s:f>
        <s:v>63.000000000000171</s:v>
      </s:c>
      <s:c r="AB189" s="4" t="s">
        <s:v>26</s:v>
      </s:c>
      <s:c r="AC189" s="4">
        <s:v>187</s:v>
      </s:c>
      <s:c r="AD189" s="9">
        <s:f>AD188+1/3</s:f>
        <s:v>63.000000000000171</s:v>
      </s:c>
      <s:c r="AG189" s="4" t="s">
        <s:v>26</s:v>
      </s:c>
      <s:c r="AH189" s="4">
        <s:v>187</s:v>
      </s:c>
      <s:c r="AI189" s="9">
        <s:f>AI188+1/3</s:f>
        <s:v>63.000000000000171</s:v>
      </s:c>
      <s:c r="AL189" s="4" t="s">
        <s:v>26</s:v>
      </s:c>
      <s:c r="AM189" s="4">
        <s:v>187</s:v>
      </s:c>
      <s:c r="AN189" s="9">
        <s:f>AN188+1/3</s:f>
        <s:v>63.000000000000171</s:v>
      </s:c>
      <s:c r="AQ189" s="4" t="s">
        <s:v>26</s:v>
      </s:c>
      <s:c r="AR189" s="4">
        <s:v>187</s:v>
      </s:c>
      <s:c r="AS189" s="9">
        <s:f>AS188+1/3</s:f>
        <s:v>63.000000000000171</s:v>
      </s:c>
      <s:c r="AW189" s="4" t="s">
        <s:v>26</s:v>
      </s:c>
      <s:c r="AX189" s="4">
        <s:v>187</s:v>
      </s:c>
      <s:c r="AY189" s="9">
        <s:f>AY188+1/3</s:f>
        <s:v>63.000000000000171</s:v>
      </s:c>
    </s:row>
    <s:row r="190">
      <s:c r="M190" s="4" t="s">
        <s:v>26</s:v>
      </s:c>
      <s:c r="N190" s="4">
        <s:v>188</s:v>
      </s:c>
      <s:c r="O190" s="34">
        <s:v>21</s:v>
      </s:c>
      <s:c r="P190" s="39"/>
      <s:c r="R190" s="4" t="s">
        <s:v>26</s:v>
      </s:c>
      <s:c r="S190" s="4">
        <s:v>188</s:v>
      </s:c>
      <s:c r="T190" s="34">
        <s:v>21</s:v>
      </s:c>
      <s:c r="W190" s="4" t="s">
        <s:v>26</s:v>
      </s:c>
      <s:c r="X190" s="4">
        <s:v>188</s:v>
      </s:c>
      <s:c r="Y190" s="9">
        <s:f>Y189+1/3</s:f>
        <s:v>63.333333333333506</s:v>
      </s:c>
      <s:c r="AB190" s="4" t="s">
        <s:v>26</s:v>
      </s:c>
      <s:c r="AC190" s="4">
        <s:v>188</s:v>
      </s:c>
      <s:c r="AD190" s="9">
        <s:f>AD189+1/3</s:f>
        <s:v>63.333333333333506</s:v>
      </s:c>
      <s:c r="AG190" s="4" t="s">
        <s:v>26</s:v>
      </s:c>
      <s:c r="AH190" s="4">
        <s:v>188</s:v>
      </s:c>
      <s:c r="AI190" s="9">
        <s:f>AI189+1/3</s:f>
        <s:v>63.333333333333506</s:v>
      </s:c>
      <s:c r="AL190" s="4" t="s">
        <s:v>26</s:v>
      </s:c>
      <s:c r="AM190" s="4">
        <s:v>188</s:v>
      </s:c>
      <s:c r="AN190" s="9">
        <s:f>AN189+1/3</s:f>
        <s:v>63.333333333333506</s:v>
      </s:c>
      <s:c r="AQ190" s="4" t="s">
        <s:v>26</s:v>
      </s:c>
      <s:c r="AR190" s="4">
        <s:v>188</s:v>
      </s:c>
      <s:c r="AS190" s="9">
        <s:f>AS189+1/3</s:f>
        <s:v>63.333333333333506</s:v>
      </s:c>
      <s:c r="AW190" s="4" t="s">
        <s:v>26</s:v>
      </s:c>
      <s:c r="AX190" s="4">
        <s:v>188</s:v>
      </s:c>
      <s:c r="AY190" s="9">
        <s:f>AY189+1/3</s:f>
        <s:v>63.333333333333506</s:v>
      </s:c>
    </s:row>
    <s:row r="191">
      <s:c r="M191" s="4" t="s">
        <s:v>26</s:v>
      </s:c>
      <s:c r="N191" s="4">
        <s:v>189</s:v>
      </s:c>
      <s:c r="O191" s="34">
        <s:v>21</s:v>
      </s:c>
      <s:c r="P191" s="39"/>
      <s:c r="R191" s="4" t="s">
        <s:v>26</s:v>
      </s:c>
      <s:c r="S191" s="4">
        <s:v>189</s:v>
      </s:c>
      <s:c r="T191" s="34">
        <s:v>21</s:v>
      </s:c>
      <s:c r="W191" s="4" t="s">
        <s:v>26</s:v>
      </s:c>
      <s:c r="X191" s="4">
        <s:v>189</s:v>
      </s:c>
      <s:c r="Y191" s="9">
        <s:f>Y190+1/3</s:f>
        <s:v>63.666666666666842</s:v>
      </s:c>
      <s:c r="AB191" s="4" t="s">
        <s:v>26</s:v>
      </s:c>
      <s:c r="AC191" s="4">
        <s:v>189</s:v>
      </s:c>
      <s:c r="AD191" s="9">
        <s:f>AD190+1/3</s:f>
        <s:v>63.666666666666842</s:v>
      </s:c>
      <s:c r="AG191" s="4" t="s">
        <s:v>26</s:v>
      </s:c>
      <s:c r="AH191" s="4">
        <s:v>189</s:v>
      </s:c>
      <s:c r="AI191" s="9">
        <s:f>AI190+1/3</s:f>
        <s:v>63.666666666666842</s:v>
      </s:c>
      <s:c r="AL191" s="4" t="s">
        <s:v>26</s:v>
      </s:c>
      <s:c r="AM191" s="4">
        <s:v>189</s:v>
      </s:c>
      <s:c r="AN191" s="9">
        <s:f>AN190+1/3</s:f>
        <s:v>63.666666666666842</s:v>
      </s:c>
      <s:c r="AQ191" s="4" t="s">
        <s:v>26</s:v>
      </s:c>
      <s:c r="AR191" s="4">
        <s:v>189</s:v>
      </s:c>
      <s:c r="AS191" s="9">
        <s:f>AS190+1/3</s:f>
        <s:v>63.666666666666842</s:v>
      </s:c>
      <s:c r="AW191" s="4" t="s">
        <s:v>26</s:v>
      </s:c>
      <s:c r="AX191" s="4">
        <s:v>189</s:v>
      </s:c>
      <s:c r="AY191" s="9">
        <s:f>AY190+1/3</s:f>
        <s:v>63.666666666666842</s:v>
      </s:c>
    </s:row>
    <s:row r="192">
      <s:c r="M192" s="4" t="s">
        <s:v>26</s:v>
      </s:c>
      <s:c r="N192" s="4">
        <s:v>190</s:v>
      </s:c>
      <s:c r="O192" s="34">
        <s:v>22</s:v>
      </s:c>
      <s:c r="P192" s="11"/>
      <s:c r="R192" s="4" t="s">
        <s:v>26</s:v>
      </s:c>
      <s:c r="S192" s="4">
        <s:v>190</s:v>
      </s:c>
      <s:c r="T192" s="34">
        <s:v>22</s:v>
      </s:c>
      <s:c r="W192" s="4" t="s">
        <s:v>26</s:v>
      </s:c>
      <s:c r="X192" s="4">
        <s:v>190</s:v>
      </s:c>
      <s:c r="Y192" s="9">
        <s:f>Y191+1/3</s:f>
        <s:v>64.000000000000171</s:v>
      </s:c>
      <s:c r="AB192" s="4" t="s">
        <s:v>26</s:v>
      </s:c>
      <s:c r="AC192" s="4">
        <s:v>190</s:v>
      </s:c>
      <s:c r="AD192" s="9">
        <s:f>AD191+1/3</s:f>
        <s:v>64.000000000000171</s:v>
      </s:c>
      <s:c r="AG192" s="4" t="s">
        <s:v>26</s:v>
      </s:c>
      <s:c r="AH192" s="4">
        <s:v>190</s:v>
      </s:c>
      <s:c r="AI192" s="9">
        <s:f>AI191+1/3</s:f>
        <s:v>64.000000000000171</s:v>
      </s:c>
      <s:c r="AL192" s="4" t="s">
        <s:v>26</s:v>
      </s:c>
      <s:c r="AM192" s="4">
        <s:v>190</s:v>
      </s:c>
      <s:c r="AN192" s="9">
        <s:f>AN191+1/3</s:f>
        <s:v>64.000000000000171</s:v>
      </s:c>
      <s:c r="AQ192" s="4" t="s">
        <s:v>26</s:v>
      </s:c>
      <s:c r="AR192" s="4">
        <s:v>190</s:v>
      </s:c>
      <s:c r="AS192" s="9">
        <s:f>AS191+1/3</s:f>
        <s:v>64.000000000000171</s:v>
      </s:c>
      <s:c r="AW192" s="4" t="s">
        <s:v>26</s:v>
      </s:c>
      <s:c r="AX192" s="4">
        <s:v>190</s:v>
      </s:c>
      <s:c r="AY192" s="9">
        <s:f>AY191+1/3</s:f>
        <s:v>64.000000000000171</s:v>
      </s:c>
    </s:row>
    <s:row r="193">
      <s:c r="M193" s="4" t="s">
        <s:v>26</s:v>
      </s:c>
      <s:c r="N193" s="4">
        <s:v>191</s:v>
      </s:c>
      <s:c r="O193" s="34">
        <s:v>22</s:v>
      </s:c>
      <s:c r="P193" s="11"/>
      <s:c r="R193" s="4" t="s">
        <s:v>26</s:v>
      </s:c>
      <s:c r="S193" s="4">
        <s:v>191</s:v>
      </s:c>
      <s:c r="T193" s="34">
        <s:v>22</s:v>
      </s:c>
      <s:c r="W193" s="4" t="s">
        <s:v>26</s:v>
      </s:c>
      <s:c r="X193" s="4">
        <s:v>191</s:v>
      </s:c>
      <s:c r="Y193" s="9">
        <s:f>Y192+1/3</s:f>
        <s:v>64.333333333333499</s:v>
      </s:c>
      <s:c r="AB193" s="4" t="s">
        <s:v>26</s:v>
      </s:c>
      <s:c r="AC193" s="4">
        <s:v>191</s:v>
      </s:c>
      <s:c r="AD193" s="9">
        <s:f>AD192+1/3</s:f>
        <s:v>64.333333333333499</s:v>
      </s:c>
      <s:c r="AG193" s="4" t="s">
        <s:v>26</s:v>
      </s:c>
      <s:c r="AH193" s="4">
        <s:v>191</s:v>
      </s:c>
      <s:c r="AI193" s="9">
        <s:f>AI192+1/3</s:f>
        <s:v>64.333333333333499</s:v>
      </s:c>
      <s:c r="AL193" s="4" t="s">
        <s:v>26</s:v>
      </s:c>
      <s:c r="AM193" s="4">
        <s:v>191</s:v>
      </s:c>
      <s:c r="AN193" s="9">
        <s:f>AN192+1/3</s:f>
        <s:v>64.333333333333499</s:v>
      </s:c>
      <s:c r="AQ193" s="4" t="s">
        <s:v>26</s:v>
      </s:c>
      <s:c r="AR193" s="4">
        <s:v>191</s:v>
      </s:c>
      <s:c r="AS193" s="9">
        <s:f>AS192+1/3</s:f>
        <s:v>64.333333333333499</s:v>
      </s:c>
      <s:c r="AW193" s="4" t="s">
        <s:v>26</s:v>
      </s:c>
      <s:c r="AX193" s="4">
        <s:v>191</s:v>
      </s:c>
      <s:c r="AY193" s="9">
        <s:f>AY192+1/3</s:f>
        <s:v>64.333333333333499</s:v>
      </s:c>
    </s:row>
    <s:row r="194">
      <s:c r="M194" s="4" t="s">
        <s:v>26</s:v>
      </s:c>
      <s:c r="N194" s="4">
        <s:v>192</s:v>
      </s:c>
      <s:c r="O194" s="34">
        <s:v>22</s:v>
      </s:c>
      <s:c r="P194" s="11"/>
      <s:c r="R194" s="4" t="s">
        <s:v>26</s:v>
      </s:c>
      <s:c r="S194" s="4">
        <s:v>192</s:v>
      </s:c>
      <s:c r="T194" s="34">
        <s:v>22</s:v>
      </s:c>
      <s:c r="W194" s="4" t="s">
        <s:v>26</s:v>
      </s:c>
      <s:c r="X194" s="4">
        <s:v>192</s:v>
      </s:c>
      <s:c r="Y194" s="9">
        <s:f>Y193+1/3</s:f>
        <s:v>64.666666666666828</s:v>
      </s:c>
      <s:c r="AB194" s="4" t="s">
        <s:v>26</s:v>
      </s:c>
      <s:c r="AC194" s="4">
        <s:v>192</s:v>
      </s:c>
      <s:c r="AD194" s="9">
        <s:f>AD193+1/3</s:f>
        <s:v>64.666666666666828</s:v>
      </s:c>
      <s:c r="AG194" s="4" t="s">
        <s:v>26</s:v>
      </s:c>
      <s:c r="AH194" s="4">
        <s:v>192</s:v>
      </s:c>
      <s:c r="AI194" s="9">
        <s:f>AI193+1/3</s:f>
        <s:v>64.666666666666828</s:v>
      </s:c>
      <s:c r="AL194" s="4" t="s">
        <s:v>26</s:v>
      </s:c>
      <s:c r="AM194" s="4">
        <s:v>192</s:v>
      </s:c>
      <s:c r="AN194" s="9">
        <s:f>AN193+1/3</s:f>
        <s:v>64.666666666666828</s:v>
      </s:c>
      <s:c r="AQ194" s="4" t="s">
        <s:v>26</s:v>
      </s:c>
      <s:c r="AR194" s="4">
        <s:v>192</s:v>
      </s:c>
      <s:c r="AS194" s="9">
        <s:f>AS193+1/3</s:f>
        <s:v>64.666666666666828</s:v>
      </s:c>
      <s:c r="AW194" s="4" t="s">
        <s:v>26</s:v>
      </s:c>
      <s:c r="AX194" s="4">
        <s:v>192</s:v>
      </s:c>
      <s:c r="AY194" s="9">
        <s:f>AY193+1/3</s:f>
        <s:v>64.666666666666828</s:v>
      </s:c>
    </s:row>
    <s:row r="195">
      <s:c r="M195" s="4" t="s">
        <s:v>26</s:v>
      </s:c>
      <s:c r="N195" s="4">
        <s:v>193</s:v>
      </s:c>
      <s:c r="O195" s="34">
        <s:v>22</s:v>
      </s:c>
      <s:c r="P195" s="11"/>
      <s:c r="R195" s="4" t="s">
        <s:v>26</s:v>
      </s:c>
      <s:c r="S195" s="4">
        <s:v>193</s:v>
      </s:c>
      <s:c r="T195" s="34">
        <s:v>22</s:v>
      </s:c>
      <s:c r="W195" s="4" t="s">
        <s:v>26</s:v>
      </s:c>
      <s:c r="X195" s="4">
        <s:v>193</s:v>
      </s:c>
      <s:c r="Y195" s="9">
        <s:f>Y194+1/3</s:f>
        <s:v>65.000000000000156</s:v>
      </s:c>
      <s:c r="AB195" s="4" t="s">
        <s:v>26</s:v>
      </s:c>
      <s:c r="AC195" s="4">
        <s:v>193</s:v>
      </s:c>
      <s:c r="AD195" s="9">
        <s:f>AD194+1/3</s:f>
        <s:v>65.000000000000156</s:v>
      </s:c>
      <s:c r="AG195" s="4" t="s">
        <s:v>26</s:v>
      </s:c>
      <s:c r="AH195" s="4">
        <s:v>193</s:v>
      </s:c>
      <s:c r="AI195" s="9">
        <s:f>AI194+1/3</s:f>
        <s:v>65.000000000000156</s:v>
      </s:c>
      <s:c r="AL195" s="4" t="s">
        <s:v>26</s:v>
      </s:c>
      <s:c r="AM195" s="4">
        <s:v>193</s:v>
      </s:c>
      <s:c r="AN195" s="9">
        <s:f>AN194+1/3</s:f>
        <s:v>65.000000000000156</s:v>
      </s:c>
      <s:c r="AQ195" s="4" t="s">
        <s:v>26</s:v>
      </s:c>
      <s:c r="AR195" s="4">
        <s:v>193</s:v>
      </s:c>
      <s:c r="AS195" s="9">
        <s:f>AS194+1/3</s:f>
        <s:v>65.000000000000156</s:v>
      </s:c>
      <s:c r="AW195" s="4" t="s">
        <s:v>26</s:v>
      </s:c>
      <s:c r="AX195" s="4">
        <s:v>193</s:v>
      </s:c>
      <s:c r="AY195" s="9">
        <s:f>AY194+1/3</s:f>
        <s:v>65.000000000000156</s:v>
      </s:c>
    </s:row>
    <s:row r="196">
      <s:c r="M196" s="4" t="s">
        <s:v>26</s:v>
      </s:c>
      <s:c r="N196" s="4">
        <s:v>194</s:v>
      </s:c>
      <s:c r="O196" s="34">
        <s:v>22</s:v>
      </s:c>
      <s:c r="P196" s="11"/>
      <s:c r="R196" s="4" t="s">
        <s:v>26</s:v>
      </s:c>
      <s:c r="S196" s="4">
        <s:v>194</s:v>
      </s:c>
      <s:c r="T196" s="34">
        <s:v>22</s:v>
      </s:c>
      <s:c r="W196" s="4" t="s">
        <s:v>26</s:v>
      </s:c>
      <s:c r="X196" s="4">
        <s:v>194</s:v>
      </s:c>
      <s:c r="Y196" s="9">
        <s:f>Y195+1/3</s:f>
        <s:v>65.333333333333485</s:v>
      </s:c>
      <s:c r="AB196" s="4" t="s">
        <s:v>26</s:v>
      </s:c>
      <s:c r="AC196" s="4">
        <s:v>194</s:v>
      </s:c>
      <s:c r="AD196" s="9">
        <s:f>AD195+1/3</s:f>
        <s:v>65.333333333333485</s:v>
      </s:c>
      <s:c r="AG196" s="4" t="s">
        <s:v>26</s:v>
      </s:c>
      <s:c r="AH196" s="4">
        <s:v>194</s:v>
      </s:c>
      <s:c r="AI196" s="9">
        <s:f>AI195+1/3</s:f>
        <s:v>65.333333333333485</s:v>
      </s:c>
      <s:c r="AL196" s="4" t="s">
        <s:v>26</s:v>
      </s:c>
      <s:c r="AM196" s="4">
        <s:v>194</s:v>
      </s:c>
      <s:c r="AN196" s="9">
        <s:f>AN195+1/3</s:f>
        <s:v>65.333333333333485</s:v>
      </s:c>
      <s:c r="AQ196" s="4" t="s">
        <s:v>26</s:v>
      </s:c>
      <s:c r="AR196" s="4">
        <s:v>194</s:v>
      </s:c>
      <s:c r="AS196" s="9">
        <s:f>AS195+1/3</s:f>
        <s:v>65.333333333333485</s:v>
      </s:c>
      <s:c r="AW196" s="4" t="s">
        <s:v>26</s:v>
      </s:c>
      <s:c r="AX196" s="4">
        <s:v>194</s:v>
      </s:c>
      <s:c r="AY196" s="9">
        <s:f>AY195+1/3</s:f>
        <s:v>65.333333333333485</s:v>
      </s:c>
    </s:row>
    <s:row r="197">
      <s:c r="M197" s="4" t="s">
        <s:v>26</s:v>
      </s:c>
      <s:c r="N197" s="4">
        <s:v>195</s:v>
      </s:c>
      <s:c r="O197" s="34">
        <s:v>22</s:v>
      </s:c>
      <s:c r="P197" s="11"/>
      <s:c r="R197" s="4" t="s">
        <s:v>26</s:v>
      </s:c>
      <s:c r="S197" s="4">
        <s:v>195</s:v>
      </s:c>
      <s:c r="T197" s="34">
        <s:v>22</s:v>
      </s:c>
      <s:c r="W197" s="4" t="s">
        <s:v>26</s:v>
      </s:c>
      <s:c r="X197" s="4">
        <s:v>195</s:v>
      </s:c>
      <s:c r="Y197" s="9">
        <s:f>Y196+1/3</s:f>
        <s:v>65.666666666666814</s:v>
      </s:c>
      <s:c r="AB197" s="4" t="s">
        <s:v>26</s:v>
      </s:c>
      <s:c r="AC197" s="4">
        <s:v>195</s:v>
      </s:c>
      <s:c r="AD197" s="9">
        <s:f>AD196+1/3</s:f>
        <s:v>65.666666666666814</s:v>
      </s:c>
      <s:c r="AG197" s="4" t="s">
        <s:v>26</s:v>
      </s:c>
      <s:c r="AH197" s="4">
        <s:v>195</s:v>
      </s:c>
      <s:c r="AI197" s="9">
        <s:f>AI196+1/3</s:f>
        <s:v>65.666666666666814</s:v>
      </s:c>
      <s:c r="AL197" s="4" t="s">
        <s:v>26</s:v>
      </s:c>
      <s:c r="AM197" s="4">
        <s:v>195</s:v>
      </s:c>
      <s:c r="AN197" s="9">
        <s:f>AN196+1/3</s:f>
        <s:v>65.666666666666814</s:v>
      </s:c>
      <s:c r="AQ197" s="4" t="s">
        <s:v>26</s:v>
      </s:c>
      <s:c r="AR197" s="4">
        <s:v>195</s:v>
      </s:c>
      <s:c r="AS197" s="9">
        <s:f>AS196+1/3</s:f>
        <s:v>65.666666666666814</s:v>
      </s:c>
      <s:c r="AW197" s="4" t="s">
        <s:v>26</s:v>
      </s:c>
      <s:c r="AX197" s="4">
        <s:v>195</s:v>
      </s:c>
      <s:c r="AY197" s="9">
        <s:f>AY196+1/3</s:f>
        <s:v>65.666666666666814</s:v>
      </s:c>
    </s:row>
    <s:row r="198">
      <s:c r="M198" s="4" t="s">
        <s:v>26</s:v>
      </s:c>
      <s:c r="N198" s="4">
        <s:v>196</s:v>
      </s:c>
      <s:c r="O198" s="34">
        <s:v>22</s:v>
      </s:c>
      <s:c r="P198" s="11"/>
      <s:c r="R198" s="4" t="s">
        <s:v>26</s:v>
      </s:c>
      <s:c r="S198" s="4">
        <s:v>196</s:v>
      </s:c>
      <s:c r="T198" s="34">
        <s:v>22</s:v>
      </s:c>
      <s:c r="W198" s="4" t="s">
        <s:v>26</s:v>
      </s:c>
      <s:c r="X198" s="4">
        <s:v>196</s:v>
      </s:c>
      <s:c r="Y198" s="9">
        <s:f>Y197+1/3</s:f>
        <s:v>66.000000000000142</s:v>
      </s:c>
      <s:c r="AB198" s="4" t="s">
        <s:v>26</s:v>
      </s:c>
      <s:c r="AC198" s="4">
        <s:v>196</s:v>
      </s:c>
      <s:c r="AD198" s="9">
        <s:f>AD197+1/3</s:f>
        <s:v>66.000000000000142</s:v>
      </s:c>
      <s:c r="AG198" s="4" t="s">
        <s:v>26</s:v>
      </s:c>
      <s:c r="AH198" s="4">
        <s:v>196</s:v>
      </s:c>
      <s:c r="AI198" s="9">
        <s:f>AI197+1/3</s:f>
        <s:v>66.000000000000142</s:v>
      </s:c>
      <s:c r="AL198" s="4" t="s">
        <s:v>26</s:v>
      </s:c>
      <s:c r="AM198" s="4">
        <s:v>196</s:v>
      </s:c>
      <s:c r="AN198" s="9">
        <s:f>AN197+1/3</s:f>
        <s:v>66.000000000000142</s:v>
      </s:c>
      <s:c r="AQ198" s="4" t="s">
        <s:v>26</s:v>
      </s:c>
      <s:c r="AR198" s="4">
        <s:v>196</s:v>
      </s:c>
      <s:c r="AS198" s="9">
        <s:f>AS197+1/3</s:f>
        <s:v>66.000000000000142</s:v>
      </s:c>
      <s:c r="AW198" s="4" t="s">
        <s:v>26</s:v>
      </s:c>
      <s:c r="AX198" s="4">
        <s:v>196</s:v>
      </s:c>
      <s:c r="AY198" s="9">
        <s:f>AY197+1/3</s:f>
        <s:v>66.000000000000142</s:v>
      </s:c>
    </s:row>
    <s:row r="199">
      <s:c r="M199" s="4" t="s">
        <s:v>26</s:v>
      </s:c>
      <s:c r="N199" s="4">
        <s:v>197</s:v>
      </s:c>
      <s:c r="O199" s="34">
        <s:v>22</s:v>
      </s:c>
      <s:c r="P199" s="11"/>
      <s:c r="R199" s="4" t="s">
        <s:v>26</s:v>
      </s:c>
      <s:c r="S199" s="4">
        <s:v>197</s:v>
      </s:c>
      <s:c r="T199" s="34">
        <s:v>22</s:v>
      </s:c>
      <s:c r="W199" s="4" t="s">
        <s:v>26</s:v>
      </s:c>
      <s:c r="X199" s="4">
        <s:v>197</s:v>
      </s:c>
      <s:c r="Y199" s="9">
        <s:f>Y198+1/3</s:f>
        <s:v>66.333333333333471</s:v>
      </s:c>
      <s:c r="AB199" s="4" t="s">
        <s:v>26</s:v>
      </s:c>
      <s:c r="AC199" s="4">
        <s:v>197</s:v>
      </s:c>
      <s:c r="AD199" s="9">
        <s:f>AD198+1/3</s:f>
        <s:v>66.333333333333471</s:v>
      </s:c>
      <s:c r="AG199" s="4" t="s">
        <s:v>26</s:v>
      </s:c>
      <s:c r="AH199" s="4">
        <s:v>197</s:v>
      </s:c>
      <s:c r="AI199" s="9">
        <s:f>AI198+1/3</s:f>
        <s:v>66.333333333333471</s:v>
      </s:c>
      <s:c r="AL199" s="4" t="s">
        <s:v>26</s:v>
      </s:c>
      <s:c r="AM199" s="4">
        <s:v>197</s:v>
      </s:c>
      <s:c r="AN199" s="9">
        <s:f>AN198+1/3</s:f>
        <s:v>66.333333333333471</s:v>
      </s:c>
      <s:c r="AQ199" s="4" t="s">
        <s:v>26</s:v>
      </s:c>
      <s:c r="AR199" s="4">
        <s:v>197</s:v>
      </s:c>
      <s:c r="AS199" s="9">
        <s:f>AS198+1/3</s:f>
        <s:v>66.333333333333471</s:v>
      </s:c>
      <s:c r="AW199" s="4" t="s">
        <s:v>26</s:v>
      </s:c>
      <s:c r="AX199" s="4">
        <s:v>197</s:v>
      </s:c>
      <s:c r="AY199" s="9">
        <s:f>AY198+1/3</s:f>
        <s:v>66.333333333333471</s:v>
      </s:c>
    </s:row>
    <s:row r="200">
      <s:c r="M200" s="4" t="s">
        <s:v>26</s:v>
      </s:c>
      <s:c r="N200" s="4">
        <s:v>198</s:v>
      </s:c>
      <s:c r="O200" s="34">
        <s:v>22</s:v>
      </s:c>
      <s:c r="P200" s="11"/>
      <s:c r="R200" s="4" t="s">
        <s:v>26</s:v>
      </s:c>
      <s:c r="S200" s="4">
        <s:v>198</s:v>
      </s:c>
      <s:c r="T200" s="34">
        <s:v>22</s:v>
      </s:c>
      <s:c r="W200" s="4" t="s">
        <s:v>26</s:v>
      </s:c>
      <s:c r="X200" s="4">
        <s:v>198</s:v>
      </s:c>
      <s:c r="Y200" s="9">
        <s:f>Y199+1/3</s:f>
        <s:v>66.666666666666799</s:v>
      </s:c>
      <s:c r="AB200" s="4" t="s">
        <s:v>26</s:v>
      </s:c>
      <s:c r="AC200" s="4">
        <s:v>198</s:v>
      </s:c>
      <s:c r="AD200" s="9">
        <s:f>AD199+1/3</s:f>
        <s:v>66.666666666666799</s:v>
      </s:c>
      <s:c r="AG200" s="4" t="s">
        <s:v>26</s:v>
      </s:c>
      <s:c r="AH200" s="4">
        <s:v>198</s:v>
      </s:c>
      <s:c r="AI200" s="9">
        <s:f>AI199+1/3</s:f>
        <s:v>66.666666666666799</s:v>
      </s:c>
      <s:c r="AL200" s="4" t="s">
        <s:v>26</s:v>
      </s:c>
      <s:c r="AM200" s="4">
        <s:v>198</s:v>
      </s:c>
      <s:c r="AN200" s="9">
        <s:f>AN199+1/3</s:f>
        <s:v>66.666666666666799</s:v>
      </s:c>
      <s:c r="AQ200" s="4" t="s">
        <s:v>26</s:v>
      </s:c>
      <s:c r="AR200" s="4">
        <s:v>198</s:v>
      </s:c>
      <s:c r="AS200" s="9">
        <s:f>AS199+1/3</s:f>
        <s:v>66.666666666666799</s:v>
      </s:c>
      <s:c r="AW200" s="4" t="s">
        <s:v>26</s:v>
      </s:c>
      <s:c r="AX200" s="4">
        <s:v>198</s:v>
      </s:c>
      <s:c r="AY200" s="9">
        <s:f>AY199+1/3</s:f>
        <s:v>66.666666666666799</s:v>
      </s:c>
    </s:row>
    <s:row r="201">
      <s:c r="M201" s="4" t="s">
        <s:v>26</s:v>
      </s:c>
      <s:c r="N201" s="4">
        <s:v>199</s:v>
      </s:c>
      <s:c r="O201" s="34">
        <s:v>23</s:v>
      </s:c>
      <s:c r="P201" s="39"/>
      <s:c r="R201" s="4" t="s">
        <s:v>26</s:v>
      </s:c>
      <s:c r="S201" s="4">
        <s:v>199</s:v>
      </s:c>
      <s:c r="T201" s="34">
        <s:v>23</s:v>
      </s:c>
      <s:c r="W201" s="4" t="s">
        <s:v>26</s:v>
      </s:c>
      <s:c r="X201" s="4">
        <s:v>199</s:v>
      </s:c>
      <s:c r="Y201" s="9">
        <s:f>Y200+1/3</s:f>
        <s:v>67.000000000000128</s:v>
      </s:c>
      <s:c r="AB201" s="4" t="s">
        <s:v>26</s:v>
      </s:c>
      <s:c r="AC201" s="4">
        <s:v>199</s:v>
      </s:c>
      <s:c r="AD201" s="9">
        <s:f>AD200+1/3</s:f>
        <s:v>67.000000000000128</s:v>
      </s:c>
      <s:c r="AG201" s="4" t="s">
        <s:v>26</s:v>
      </s:c>
      <s:c r="AH201" s="4">
        <s:v>199</s:v>
      </s:c>
      <s:c r="AI201" s="9">
        <s:f>AI200+1/3</s:f>
        <s:v>67.000000000000128</s:v>
      </s:c>
      <s:c r="AL201" s="4" t="s">
        <s:v>26</s:v>
      </s:c>
      <s:c r="AM201" s="4">
        <s:v>199</s:v>
      </s:c>
      <s:c r="AN201" s="9">
        <s:f>AN200+1/3</s:f>
        <s:v>67.000000000000128</s:v>
      </s:c>
      <s:c r="AQ201" s="4" t="s">
        <s:v>26</s:v>
      </s:c>
      <s:c r="AR201" s="4">
        <s:v>199</s:v>
      </s:c>
      <s:c r="AS201" s="9">
        <s:f>AS200+1/3</s:f>
        <s:v>67.000000000000128</s:v>
      </s:c>
      <s:c r="AW201" s="4" t="s">
        <s:v>26</s:v>
      </s:c>
      <s:c r="AX201" s="4">
        <s:v>199</s:v>
      </s:c>
      <s:c r="AY201" s="9">
        <s:f>AY200+1/3</s:f>
        <s:v>67.000000000000128</s:v>
      </s:c>
    </s:row>
    <s:row r="202">
      <s:c r="M202" s="4" t="s">
        <s:v>26</s:v>
      </s:c>
      <s:c r="N202" s="4">
        <s:v>200</s:v>
      </s:c>
      <s:c r="O202" s="34">
        <s:v>23</s:v>
      </s:c>
      <s:c r="P202" s="39"/>
      <s:c r="R202" s="4" t="s">
        <s:v>26</s:v>
      </s:c>
      <s:c r="S202" s="4">
        <s:v>200</s:v>
      </s:c>
      <s:c r="T202" s="34">
        <s:v>23</s:v>
      </s:c>
      <s:c r="W202" s="4" t="s">
        <s:v>26</s:v>
      </s:c>
      <s:c r="X202" s="4">
        <s:v>200</s:v>
      </s:c>
      <s:c r="Y202" s="9">
        <s:f>Y201+1/3</s:f>
        <s:v>67.333333333333456</s:v>
      </s:c>
      <s:c r="AB202" s="4" t="s">
        <s:v>26</s:v>
      </s:c>
      <s:c r="AC202" s="4">
        <s:v>200</s:v>
      </s:c>
      <s:c r="AD202" s="9">
        <s:f>AD201+1/3</s:f>
        <s:v>67.333333333333456</s:v>
      </s:c>
      <s:c r="AG202" s="4" t="s">
        <s:v>26</s:v>
      </s:c>
      <s:c r="AH202" s="4">
        <s:v>200</s:v>
      </s:c>
      <s:c r="AI202" s="9">
        <s:f>AI201+1/3</s:f>
        <s:v>67.333333333333456</s:v>
      </s:c>
      <s:c r="AL202" s="4" t="s">
        <s:v>26</s:v>
      </s:c>
      <s:c r="AM202" s="4">
        <s:v>200</s:v>
      </s:c>
      <s:c r="AN202" s="9">
        <s:f>AN201+1/3</s:f>
        <s:v>67.333333333333456</s:v>
      </s:c>
      <s:c r="AQ202" s="4" t="s">
        <s:v>26</s:v>
      </s:c>
      <s:c r="AR202" s="4">
        <s:v>200</s:v>
      </s:c>
      <s:c r="AS202" s="9">
        <s:f>AS201+1/3</s:f>
        <s:v>67.333333333333456</s:v>
      </s:c>
      <s:c r="AW202" s="4" t="s">
        <s:v>26</s:v>
      </s:c>
      <s:c r="AX202" s="4">
        <s:v>200</s:v>
      </s:c>
      <s:c r="AY202" s="9">
        <s:f>AY201+1/3</s:f>
        <s:v>67.333333333333456</s:v>
      </s:c>
    </s:row>
    <s:row r="203">
      <s:c r="M203" s="4" t="s">
        <s:v>26</s:v>
      </s:c>
      <s:c r="N203" s="4">
        <s:v>201</s:v>
      </s:c>
      <s:c r="O203" s="34">
        <s:v>23</s:v>
      </s:c>
      <s:c r="P203" s="39"/>
      <s:c r="R203" s="4" t="s">
        <s:v>26</s:v>
      </s:c>
      <s:c r="S203" s="4">
        <s:v>201</s:v>
      </s:c>
      <s:c r="T203" s="34">
        <s:v>23</s:v>
      </s:c>
      <s:c r="W203" s="4" t="s">
        <s:v>26</s:v>
      </s:c>
      <s:c r="X203" s="4">
        <s:v>201</s:v>
      </s:c>
      <s:c r="Y203" s="9">
        <s:f>Y202+1/3</s:f>
        <s:v>67.666666666666785</s:v>
      </s:c>
      <s:c r="AB203" s="4" t="s">
        <s:v>26</s:v>
      </s:c>
      <s:c r="AC203" s="4">
        <s:v>201</s:v>
      </s:c>
      <s:c r="AD203" s="9">
        <s:f>AD202+1/3</s:f>
        <s:v>67.666666666666785</s:v>
      </s:c>
      <s:c r="AG203" s="4" t="s">
        <s:v>26</s:v>
      </s:c>
      <s:c r="AH203" s="4">
        <s:v>201</s:v>
      </s:c>
      <s:c r="AI203" s="9">
        <s:f>AI202+1/3</s:f>
        <s:v>67.666666666666785</s:v>
      </s:c>
      <s:c r="AL203" s="4" t="s">
        <s:v>26</s:v>
      </s:c>
      <s:c r="AM203" s="4">
        <s:v>201</s:v>
      </s:c>
      <s:c r="AN203" s="9">
        <s:f>AN202+1/3</s:f>
        <s:v>67.666666666666785</s:v>
      </s:c>
      <s:c r="AQ203" s="4" t="s">
        <s:v>26</s:v>
      </s:c>
      <s:c r="AR203" s="4">
        <s:v>201</s:v>
      </s:c>
      <s:c r="AS203" s="9">
        <s:f>AS202+1/3</s:f>
        <s:v>67.666666666666785</s:v>
      </s:c>
      <s:c r="AW203" s="4" t="s">
        <s:v>26</s:v>
      </s:c>
      <s:c r="AX203" s="4">
        <s:v>201</s:v>
      </s:c>
      <s:c r="AY203" s="9">
        <s:f>AY202+1/3</s:f>
        <s:v>67.666666666666785</s:v>
      </s:c>
    </s:row>
    <s:row r="204">
      <s:c r="M204" s="4" t="s">
        <s:v>26</s:v>
      </s:c>
      <s:c r="N204" s="4">
        <s:v>202</s:v>
      </s:c>
      <s:c r="O204" s="34">
        <s:v>23</s:v>
      </s:c>
      <s:c r="P204" s="39"/>
      <s:c r="R204" s="4" t="s">
        <s:v>26</s:v>
      </s:c>
      <s:c r="S204" s="4">
        <s:v>202</s:v>
      </s:c>
      <s:c r="T204" s="34">
        <s:v>23</s:v>
      </s:c>
      <s:c r="W204" s="4" t="s">
        <s:v>26</s:v>
      </s:c>
      <s:c r="X204" s="4">
        <s:v>202</s:v>
      </s:c>
      <s:c r="Y204" s="9">
        <s:f>Y203+1/3</s:f>
        <s:v>68.000000000000114</s:v>
      </s:c>
      <s:c r="AB204" s="4" t="s">
        <s:v>26</s:v>
      </s:c>
      <s:c r="AC204" s="4">
        <s:v>202</s:v>
      </s:c>
      <s:c r="AD204" s="9">
        <s:f>AD203+1/3</s:f>
        <s:v>68.000000000000114</s:v>
      </s:c>
      <s:c r="AG204" s="4" t="s">
        <s:v>26</s:v>
      </s:c>
      <s:c r="AH204" s="4">
        <s:v>202</s:v>
      </s:c>
      <s:c r="AI204" s="9">
        <s:f>AI203+1/3</s:f>
        <s:v>68.000000000000114</s:v>
      </s:c>
      <s:c r="AL204" s="4" t="s">
        <s:v>26</s:v>
      </s:c>
      <s:c r="AM204" s="4">
        <s:v>202</s:v>
      </s:c>
      <s:c r="AN204" s="9">
        <s:f>AN203+1/3</s:f>
        <s:v>68.000000000000114</s:v>
      </s:c>
      <s:c r="AQ204" s="4" t="s">
        <s:v>26</s:v>
      </s:c>
      <s:c r="AR204" s="4">
        <s:v>202</s:v>
      </s:c>
      <s:c r="AS204" s="9">
        <s:f>AS203+1/3</s:f>
        <s:v>68.000000000000114</s:v>
      </s:c>
      <s:c r="AW204" s="4" t="s">
        <s:v>26</s:v>
      </s:c>
      <s:c r="AX204" s="4">
        <s:v>202</s:v>
      </s:c>
      <s:c r="AY204" s="9">
        <s:f>AY203+1/3</s:f>
        <s:v>68.000000000000114</s:v>
      </s:c>
    </s:row>
    <s:row r="205">
      <s:c r="M205" s="4" t="s">
        <s:v>26</s:v>
      </s:c>
      <s:c r="N205" s="4">
        <s:v>203</s:v>
      </s:c>
      <s:c r="O205" s="34">
        <s:v>23</s:v>
      </s:c>
      <s:c r="P205" s="39"/>
      <s:c r="R205" s="4" t="s">
        <s:v>26</s:v>
      </s:c>
      <s:c r="S205" s="4">
        <s:v>203</s:v>
      </s:c>
      <s:c r="T205" s="34">
        <s:v>23</s:v>
      </s:c>
      <s:c r="W205" s="4" t="s">
        <s:v>26</s:v>
      </s:c>
      <s:c r="X205" s="4">
        <s:v>203</s:v>
      </s:c>
      <s:c r="Y205" s="9">
        <s:f>Y204+1/3</s:f>
        <s:v>68.333333333333442</s:v>
      </s:c>
      <s:c r="AB205" s="4" t="s">
        <s:v>26</s:v>
      </s:c>
      <s:c r="AC205" s="4">
        <s:v>203</s:v>
      </s:c>
      <s:c r="AD205" s="9">
        <s:f>AD204+1/3</s:f>
        <s:v>68.333333333333442</s:v>
      </s:c>
      <s:c r="AG205" s="4" t="s">
        <s:v>26</s:v>
      </s:c>
      <s:c r="AH205" s="4">
        <s:v>203</s:v>
      </s:c>
      <s:c r="AI205" s="9">
        <s:f>AI204+1/3</s:f>
        <s:v>68.333333333333442</s:v>
      </s:c>
      <s:c r="AL205" s="4" t="s">
        <s:v>26</s:v>
      </s:c>
      <s:c r="AM205" s="4">
        <s:v>203</s:v>
      </s:c>
      <s:c r="AN205" s="9">
        <s:f>AN204+1/3</s:f>
        <s:v>68.333333333333442</s:v>
      </s:c>
      <s:c r="AQ205" s="4" t="s">
        <s:v>26</s:v>
      </s:c>
      <s:c r="AR205" s="4">
        <s:v>203</s:v>
      </s:c>
      <s:c r="AS205" s="9">
        <s:f>AS204+1/3</s:f>
        <s:v>68.333333333333442</s:v>
      </s:c>
      <s:c r="AW205" s="4" t="s">
        <s:v>26</s:v>
      </s:c>
      <s:c r="AX205" s="4">
        <s:v>203</s:v>
      </s:c>
      <s:c r="AY205" s="9">
        <s:f>AY204+1/3</s:f>
        <s:v>68.333333333333442</s:v>
      </s:c>
    </s:row>
    <s:row r="206">
      <s:c r="M206" s="4" t="s">
        <s:v>26</s:v>
      </s:c>
      <s:c r="N206" s="4">
        <s:v>204</s:v>
      </s:c>
      <s:c r="O206" s="34">
        <s:v>23</s:v>
      </s:c>
      <s:c r="P206" s="39"/>
      <s:c r="R206" s="4" t="s">
        <s:v>26</s:v>
      </s:c>
      <s:c r="S206" s="4">
        <s:v>204</s:v>
      </s:c>
      <s:c r="T206" s="34">
        <s:v>23</s:v>
      </s:c>
      <s:c r="W206" s="4" t="s">
        <s:v>26</s:v>
      </s:c>
      <s:c r="X206" s="4">
        <s:v>204</s:v>
      </s:c>
      <s:c r="Y206" s="9">
        <s:f>Y205+1/3</s:f>
        <s:v>68.666666666666771</s:v>
      </s:c>
      <s:c r="AB206" s="4" t="s">
        <s:v>26</s:v>
      </s:c>
      <s:c r="AC206" s="4">
        <s:v>204</s:v>
      </s:c>
      <s:c r="AD206" s="9">
        <s:f>AD205+1/3</s:f>
        <s:v>68.666666666666771</s:v>
      </s:c>
      <s:c r="AG206" s="4" t="s">
        <s:v>26</s:v>
      </s:c>
      <s:c r="AH206" s="4">
        <s:v>204</s:v>
      </s:c>
      <s:c r="AI206" s="9">
        <s:f>AI205+1/3</s:f>
        <s:v>68.666666666666771</s:v>
      </s:c>
      <s:c r="AL206" s="4" t="s">
        <s:v>26</s:v>
      </s:c>
      <s:c r="AM206" s="4">
        <s:v>204</s:v>
      </s:c>
      <s:c r="AN206" s="9">
        <s:f>AN205+1/3</s:f>
        <s:v>68.666666666666771</s:v>
      </s:c>
      <s:c r="AQ206" s="4" t="s">
        <s:v>26</s:v>
      </s:c>
      <s:c r="AR206" s="4">
        <s:v>204</s:v>
      </s:c>
      <s:c r="AS206" s="9">
        <s:f>AS205+1/3</s:f>
        <s:v>68.666666666666771</s:v>
      </s:c>
      <s:c r="AW206" s="4" t="s">
        <s:v>26</s:v>
      </s:c>
      <s:c r="AX206" s="4">
        <s:v>204</s:v>
      </s:c>
      <s:c r="AY206" s="9">
        <s:f>AY205+1/3</s:f>
        <s:v>68.666666666666771</s:v>
      </s:c>
    </s:row>
    <s:row r="207">
      <s:c r="M207" s="4" t="s">
        <s:v>26</s:v>
      </s:c>
      <s:c r="N207" s="4">
        <s:v>205</s:v>
      </s:c>
      <s:c r="O207" s="34">
        <s:v>23</s:v>
      </s:c>
      <s:c r="P207" s="39"/>
      <s:c r="R207" s="4" t="s">
        <s:v>26</s:v>
      </s:c>
      <s:c r="S207" s="4">
        <s:v>205</s:v>
      </s:c>
      <s:c r="T207" s="34">
        <s:v>23</s:v>
      </s:c>
      <s:c r="W207" s="4" t="s">
        <s:v>26</s:v>
      </s:c>
      <s:c r="X207" s="4">
        <s:v>205</s:v>
      </s:c>
      <s:c r="Y207" s="9">
        <s:f>Y206+1/3</s:f>
        <s:v>69.000000000000099</s:v>
      </s:c>
      <s:c r="AB207" s="4" t="s">
        <s:v>26</s:v>
      </s:c>
      <s:c r="AC207" s="4">
        <s:v>205</s:v>
      </s:c>
      <s:c r="AD207" s="9">
        <s:f>AD206+1/3</s:f>
        <s:v>69.000000000000099</s:v>
      </s:c>
      <s:c r="AG207" s="4" t="s">
        <s:v>26</s:v>
      </s:c>
      <s:c r="AH207" s="4">
        <s:v>205</s:v>
      </s:c>
      <s:c r="AI207" s="9">
        <s:f>AI206+1/3</s:f>
        <s:v>69.000000000000099</s:v>
      </s:c>
      <s:c r="AL207" s="4" t="s">
        <s:v>26</s:v>
      </s:c>
      <s:c r="AM207" s="4">
        <s:v>205</s:v>
      </s:c>
      <s:c r="AN207" s="9">
        <s:f>AN206+1/3</s:f>
        <s:v>69.000000000000099</s:v>
      </s:c>
      <s:c r="AQ207" s="4" t="s">
        <s:v>26</s:v>
      </s:c>
      <s:c r="AR207" s="4">
        <s:v>205</s:v>
      </s:c>
      <s:c r="AS207" s="9">
        <s:f>AS206+1/3</s:f>
        <s:v>69.000000000000099</s:v>
      </s:c>
      <s:c r="AW207" s="4" t="s">
        <s:v>26</s:v>
      </s:c>
      <s:c r="AX207" s="4">
        <s:v>205</s:v>
      </s:c>
      <s:c r="AY207" s="9">
        <s:f>AY206+1/3</s:f>
        <s:v>69.000000000000099</s:v>
      </s:c>
    </s:row>
    <s:row r="208">
      <s:c r="M208" s="4" t="s">
        <s:v>26</s:v>
      </s:c>
      <s:c r="N208" s="4">
        <s:v>206</s:v>
      </s:c>
      <s:c r="O208" s="34">
        <s:v>23</s:v>
      </s:c>
      <s:c r="P208" s="39"/>
      <s:c r="R208" s="4" t="s">
        <s:v>26</s:v>
      </s:c>
      <s:c r="S208" s="4">
        <s:v>206</s:v>
      </s:c>
      <s:c r="T208" s="34">
        <s:v>23</s:v>
      </s:c>
      <s:c r="W208" s="4" t="s">
        <s:v>26</s:v>
      </s:c>
      <s:c r="X208" s="4">
        <s:v>206</s:v>
      </s:c>
      <s:c r="Y208" s="9">
        <s:f>Y207+1/3</s:f>
        <s:v>69.333333333333428</s:v>
      </s:c>
      <s:c r="AB208" s="4" t="s">
        <s:v>26</s:v>
      </s:c>
      <s:c r="AC208" s="4">
        <s:v>206</s:v>
      </s:c>
      <s:c r="AD208" s="9">
        <s:f>AD207+1/3</s:f>
        <s:v>69.333333333333428</s:v>
      </s:c>
      <s:c r="AG208" s="4" t="s">
        <s:v>26</s:v>
      </s:c>
      <s:c r="AH208" s="4">
        <s:v>206</s:v>
      </s:c>
      <s:c r="AI208" s="9">
        <s:f>AI207+1/3</s:f>
        <s:v>69.333333333333428</s:v>
      </s:c>
      <s:c r="AL208" s="4" t="s">
        <s:v>26</s:v>
      </s:c>
      <s:c r="AM208" s="4">
        <s:v>206</s:v>
      </s:c>
      <s:c r="AN208" s="9">
        <s:f>AN207+1/3</s:f>
        <s:v>69.333333333333428</s:v>
      </s:c>
      <s:c r="AQ208" s="4" t="s">
        <s:v>26</s:v>
      </s:c>
      <s:c r="AR208" s="4">
        <s:v>206</s:v>
      </s:c>
      <s:c r="AS208" s="9">
        <s:f>AS207+1/3</s:f>
        <s:v>69.333333333333428</s:v>
      </s:c>
      <s:c r="AW208" s="4" t="s">
        <s:v>26</s:v>
      </s:c>
      <s:c r="AX208" s="4">
        <s:v>206</s:v>
      </s:c>
      <s:c r="AY208" s="9">
        <s:f>AY207+1/3</s:f>
        <s:v>69.333333333333428</s:v>
      </s:c>
    </s:row>
    <s:row r="209">
      <s:c r="M209" s="4" t="s">
        <s:v>26</s:v>
      </s:c>
      <s:c r="N209" s="4">
        <s:v>207</s:v>
      </s:c>
      <s:c r="O209" s="34">
        <s:v>23</s:v>
      </s:c>
      <s:c r="P209" s="39"/>
      <s:c r="R209" s="4" t="s">
        <s:v>26</s:v>
      </s:c>
      <s:c r="S209" s="4">
        <s:v>207</s:v>
      </s:c>
      <s:c r="T209" s="34">
        <s:v>23</s:v>
      </s:c>
      <s:c r="W209" s="4" t="s">
        <s:v>26</s:v>
      </s:c>
      <s:c r="X209" s="4">
        <s:v>207</s:v>
      </s:c>
      <s:c r="Y209" s="9">
        <s:f>Y208+1/3</s:f>
        <s:v>69.666666666666757</s:v>
      </s:c>
      <s:c r="AB209" s="4" t="s">
        <s:v>26</s:v>
      </s:c>
      <s:c r="AC209" s="4">
        <s:v>207</s:v>
      </s:c>
      <s:c r="AD209" s="9">
        <s:f>AD208+1/3</s:f>
        <s:v>69.666666666666757</s:v>
      </s:c>
      <s:c r="AG209" s="4" t="s">
        <s:v>26</s:v>
      </s:c>
      <s:c r="AH209" s="4">
        <s:v>207</s:v>
      </s:c>
      <s:c r="AI209" s="9">
        <s:f>AI208+1/3</s:f>
        <s:v>69.666666666666757</s:v>
      </s:c>
      <s:c r="AL209" s="4" t="s">
        <s:v>26</s:v>
      </s:c>
      <s:c r="AM209" s="4">
        <s:v>207</s:v>
      </s:c>
      <s:c r="AN209" s="9">
        <s:f>AN208+1/3</s:f>
        <s:v>69.666666666666757</s:v>
      </s:c>
      <s:c r="AQ209" s="4" t="s">
        <s:v>26</s:v>
      </s:c>
      <s:c r="AR209" s="4">
        <s:v>207</s:v>
      </s:c>
      <s:c r="AS209" s="9">
        <s:f>AS208+1/3</s:f>
        <s:v>69.666666666666757</s:v>
      </s:c>
      <s:c r="AW209" s="4" t="s">
        <s:v>26</s:v>
      </s:c>
      <s:c r="AX209" s="4">
        <s:v>207</s:v>
      </s:c>
      <s:c r="AY209" s="9">
        <s:f>AY208+1/3</s:f>
        <s:v>69.666666666666757</s:v>
      </s:c>
    </s:row>
    <s:row r="210">
      <s:c r="M210" s="4" t="s">
        <s:v>26</s:v>
      </s:c>
      <s:c r="N210" s="4">
        <s:v>208</s:v>
      </s:c>
      <s:c r="O210" s="34">
        <s:v>24</s:v>
      </s:c>
      <s:c r="P210" s="11"/>
      <s:c r="R210" s="4" t="s">
        <s:v>26</s:v>
      </s:c>
      <s:c r="S210" s="4">
        <s:v>208</s:v>
      </s:c>
      <s:c r="T210" s="34">
        <s:v>24</s:v>
      </s:c>
      <s:c r="W210" s="4" t="s">
        <s:v>26</s:v>
      </s:c>
      <s:c r="X210" s="4">
        <s:v>208</s:v>
      </s:c>
      <s:c r="Y210" s="9">
        <s:f>Y209+1/3</s:f>
        <s:v>70.000000000000085</s:v>
      </s:c>
      <s:c r="AB210" s="4" t="s">
        <s:v>26</s:v>
      </s:c>
      <s:c r="AC210" s="4">
        <s:v>208</s:v>
      </s:c>
      <s:c r="AD210" s="9">
        <s:f>AD209+1/3</s:f>
        <s:v>70.000000000000085</s:v>
      </s:c>
      <s:c r="AG210" s="4" t="s">
        <s:v>26</s:v>
      </s:c>
      <s:c r="AH210" s="4">
        <s:v>208</s:v>
      </s:c>
      <s:c r="AI210" s="9">
        <s:f>AI209+1/3</s:f>
        <s:v>70.000000000000085</s:v>
      </s:c>
      <s:c r="AL210" s="4" t="s">
        <s:v>26</s:v>
      </s:c>
      <s:c r="AM210" s="4">
        <s:v>208</s:v>
      </s:c>
      <s:c r="AN210" s="9">
        <s:f>AN209+1/3</s:f>
        <s:v>70.000000000000085</s:v>
      </s:c>
      <s:c r="AQ210" s="4" t="s">
        <s:v>26</s:v>
      </s:c>
      <s:c r="AR210" s="4">
        <s:v>208</s:v>
      </s:c>
      <s:c r="AS210" s="9">
        <s:f>AS209+1/3</s:f>
        <s:v>70.000000000000085</s:v>
      </s:c>
      <s:c r="AW210" s="4" t="s">
        <s:v>26</s:v>
      </s:c>
      <s:c r="AX210" s="4">
        <s:v>208</s:v>
      </s:c>
      <s:c r="AY210" s="9">
        <s:f>AY209+1/3</s:f>
        <s:v>70.000000000000085</s:v>
      </s:c>
    </s:row>
    <s:row r="211">
      <s:c r="M211" s="4" t="s">
        <s:v>26</s:v>
      </s:c>
      <s:c r="N211" s="4">
        <s:v>209</s:v>
      </s:c>
      <s:c r="O211" s="34">
        <s:v>24</s:v>
      </s:c>
      <s:c r="P211" s="11"/>
      <s:c r="R211" s="4" t="s">
        <s:v>26</s:v>
      </s:c>
      <s:c r="S211" s="4">
        <s:v>209</s:v>
      </s:c>
      <s:c r="T211" s="34">
        <s:v>24</s:v>
      </s:c>
      <s:c r="W211" s="4" t="s">
        <s:v>26</s:v>
      </s:c>
      <s:c r="X211" s="4">
        <s:v>209</s:v>
      </s:c>
      <s:c r="Y211" s="9">
        <s:f>Y210+1/3</s:f>
        <s:v>70.333333333333414</s:v>
      </s:c>
      <s:c r="AB211" s="4" t="s">
        <s:v>26</s:v>
      </s:c>
      <s:c r="AC211" s="4">
        <s:v>209</s:v>
      </s:c>
      <s:c r="AD211" s="9">
        <s:f>AD210+1/3</s:f>
        <s:v>70.333333333333414</s:v>
      </s:c>
      <s:c r="AG211" s="4" t="s">
        <s:v>26</s:v>
      </s:c>
      <s:c r="AH211" s="4">
        <s:v>209</s:v>
      </s:c>
      <s:c r="AI211" s="9">
        <s:f>AI210+1/3</s:f>
        <s:v>70.333333333333414</s:v>
      </s:c>
      <s:c r="AL211" s="4" t="s">
        <s:v>26</s:v>
      </s:c>
      <s:c r="AM211" s="4">
        <s:v>209</s:v>
      </s:c>
      <s:c r="AN211" s="9">
        <s:f>AN210+1/3</s:f>
        <s:v>70.333333333333414</s:v>
      </s:c>
      <s:c r="AQ211" s="4" t="s">
        <s:v>26</s:v>
      </s:c>
      <s:c r="AR211" s="4">
        <s:v>209</s:v>
      </s:c>
      <s:c r="AS211" s="9">
        <s:f>AS210+1/3</s:f>
        <s:v>70.333333333333414</s:v>
      </s:c>
      <s:c r="AW211" s="4" t="s">
        <s:v>26</s:v>
      </s:c>
      <s:c r="AX211" s="4">
        <s:v>209</s:v>
      </s:c>
      <s:c r="AY211" s="9">
        <s:f>AY210+1/3</s:f>
        <s:v>70.333333333333414</s:v>
      </s:c>
    </s:row>
    <s:row r="212">
      <s:c r="M212" s="4" t="s">
        <s:v>26</s:v>
      </s:c>
      <s:c r="N212" s="4">
        <s:v>210</s:v>
      </s:c>
      <s:c r="O212" s="34">
        <s:v>24</s:v>
      </s:c>
      <s:c r="P212" s="11"/>
      <s:c r="R212" s="4" t="s">
        <s:v>26</s:v>
      </s:c>
      <s:c r="S212" s="4">
        <s:v>210</s:v>
      </s:c>
      <s:c r="T212" s="34">
        <s:v>24</s:v>
      </s:c>
      <s:c r="W212" s="4" t="s">
        <s:v>26</s:v>
      </s:c>
      <s:c r="X212" s="4">
        <s:v>210</s:v>
      </s:c>
      <s:c r="Y212" s="9">
        <s:f>Y211+1/3</s:f>
        <s:v>70.666666666666742</s:v>
      </s:c>
      <s:c r="AB212" s="4" t="s">
        <s:v>26</s:v>
      </s:c>
      <s:c r="AC212" s="4">
        <s:v>210</s:v>
      </s:c>
      <s:c r="AD212" s="9">
        <s:f>AD211+1/3</s:f>
        <s:v>70.666666666666742</s:v>
      </s:c>
      <s:c r="AG212" s="4" t="s">
        <s:v>26</s:v>
      </s:c>
      <s:c r="AH212" s="4">
        <s:v>210</s:v>
      </s:c>
      <s:c r="AI212" s="9">
        <s:f>AI211+1/3</s:f>
        <s:v>70.666666666666742</s:v>
      </s:c>
      <s:c r="AL212" s="4" t="s">
        <s:v>26</s:v>
      </s:c>
      <s:c r="AM212" s="4">
        <s:v>210</s:v>
      </s:c>
      <s:c r="AN212" s="9">
        <s:f>AN211+1/3</s:f>
        <s:v>70.666666666666742</s:v>
      </s:c>
      <s:c r="AQ212" s="4" t="s">
        <s:v>26</s:v>
      </s:c>
      <s:c r="AR212" s="4">
        <s:v>210</s:v>
      </s:c>
      <s:c r="AS212" s="9">
        <s:f>AS211+1/3</s:f>
        <s:v>70.666666666666742</s:v>
      </s:c>
      <s:c r="AW212" s="4" t="s">
        <s:v>26</s:v>
      </s:c>
      <s:c r="AX212" s="4">
        <s:v>210</s:v>
      </s:c>
      <s:c r="AY212" s="9">
        <s:f>AY211+1/3</s:f>
        <s:v>70.666666666666742</s:v>
      </s:c>
    </s:row>
    <s:row r="213">
      <s:c r="M213" s="4" t="s">
        <s:v>26</s:v>
      </s:c>
      <s:c r="N213" s="4">
        <s:v>211</s:v>
      </s:c>
      <s:c r="O213" s="34">
        <s:v>24</s:v>
      </s:c>
      <s:c r="P213" s="11"/>
      <s:c r="R213" s="4" t="s">
        <s:v>26</s:v>
      </s:c>
      <s:c r="S213" s="4">
        <s:v>211</s:v>
      </s:c>
      <s:c r="T213" s="34">
        <s:v>24</s:v>
      </s:c>
      <s:c r="W213" s="4" t="s">
        <s:v>26</s:v>
      </s:c>
      <s:c r="X213" s="4">
        <s:v>211</s:v>
      </s:c>
      <s:c r="Y213" s="9">
        <s:f>Y212+1/3</s:f>
        <s:v>71.000000000000071</s:v>
      </s:c>
      <s:c r="AB213" s="4" t="s">
        <s:v>26</s:v>
      </s:c>
      <s:c r="AC213" s="4">
        <s:v>211</s:v>
      </s:c>
      <s:c r="AD213" s="9">
        <s:f>AD212+1/3</s:f>
        <s:v>71.000000000000071</s:v>
      </s:c>
      <s:c r="AG213" s="4" t="s">
        <s:v>26</s:v>
      </s:c>
      <s:c r="AH213" s="4">
        <s:v>211</s:v>
      </s:c>
      <s:c r="AI213" s="9">
        <s:f>AI212+1/3</s:f>
        <s:v>71.000000000000071</s:v>
      </s:c>
      <s:c r="AL213" s="4" t="s">
        <s:v>26</s:v>
      </s:c>
      <s:c r="AM213" s="4">
        <s:v>211</s:v>
      </s:c>
      <s:c r="AN213" s="9">
        <s:f>AN212+1/3</s:f>
        <s:v>71.000000000000071</s:v>
      </s:c>
      <s:c r="AQ213" s="4" t="s">
        <s:v>26</s:v>
      </s:c>
      <s:c r="AR213" s="4">
        <s:v>211</s:v>
      </s:c>
      <s:c r="AS213" s="9">
        <s:f>AS212+1/3</s:f>
        <s:v>71.000000000000071</s:v>
      </s:c>
      <s:c r="AW213" s="4" t="s">
        <s:v>26</s:v>
      </s:c>
      <s:c r="AX213" s="4">
        <s:v>211</s:v>
      </s:c>
      <s:c r="AY213" s="9">
        <s:f>AY212+1/3</s:f>
        <s:v>71.000000000000071</s:v>
      </s:c>
    </s:row>
    <s:row r="214">
      <s:c r="M214" s="4" t="s">
        <s:v>26</s:v>
      </s:c>
      <s:c r="N214" s="4">
        <s:v>212</s:v>
      </s:c>
      <s:c r="O214" s="34">
        <s:v>24</s:v>
      </s:c>
      <s:c r="P214" s="11"/>
      <s:c r="R214" s="4" t="s">
        <s:v>26</s:v>
      </s:c>
      <s:c r="S214" s="4">
        <s:v>212</s:v>
      </s:c>
      <s:c r="T214" s="34">
        <s:v>24</s:v>
      </s:c>
      <s:c r="W214" s="4" t="s">
        <s:v>26</s:v>
      </s:c>
      <s:c r="X214" s="4">
        <s:v>212</s:v>
      </s:c>
      <s:c r="Y214" s="9">
        <s:f>Y213+1/3</s:f>
        <s:v>71.3333333333334</s:v>
      </s:c>
      <s:c r="AB214" s="4" t="s">
        <s:v>26</s:v>
      </s:c>
      <s:c r="AC214" s="4">
        <s:v>212</s:v>
      </s:c>
      <s:c r="AD214" s="9">
        <s:f>AD213+1/3</s:f>
        <s:v>71.3333333333334</s:v>
      </s:c>
      <s:c r="AG214" s="4" t="s">
        <s:v>26</s:v>
      </s:c>
      <s:c r="AH214" s="4">
        <s:v>212</s:v>
      </s:c>
      <s:c r="AI214" s="9">
        <s:f>AI213+1/3</s:f>
        <s:v>71.3333333333334</s:v>
      </s:c>
      <s:c r="AL214" s="4" t="s">
        <s:v>26</s:v>
      </s:c>
      <s:c r="AM214" s="4">
        <s:v>212</s:v>
      </s:c>
      <s:c r="AN214" s="9">
        <s:f>AN213+1/3</s:f>
        <s:v>71.3333333333334</s:v>
      </s:c>
      <s:c r="AQ214" s="4" t="s">
        <s:v>26</s:v>
      </s:c>
      <s:c r="AR214" s="4">
        <s:v>212</s:v>
      </s:c>
      <s:c r="AS214" s="9">
        <s:f>AS213+1/3</s:f>
        <s:v>71.3333333333334</s:v>
      </s:c>
      <s:c r="AW214" s="4" t="s">
        <s:v>26</s:v>
      </s:c>
      <s:c r="AX214" s="4">
        <s:v>212</s:v>
      </s:c>
      <s:c r="AY214" s="9">
        <s:f>AY213+1/3</s:f>
        <s:v>71.3333333333334</s:v>
      </s:c>
    </s:row>
    <s:row r="215">
      <s:c r="M215" s="4" t="s">
        <s:v>26</s:v>
      </s:c>
      <s:c r="N215" s="4">
        <s:v>213</s:v>
      </s:c>
      <s:c r="O215" s="34">
        <s:v>24</s:v>
      </s:c>
      <s:c r="P215" s="11"/>
      <s:c r="R215" s="4" t="s">
        <s:v>26</s:v>
      </s:c>
      <s:c r="S215" s="4">
        <s:v>213</s:v>
      </s:c>
      <s:c r="T215" s="34">
        <s:v>24</s:v>
      </s:c>
      <s:c r="W215" s="4" t="s">
        <s:v>26</s:v>
      </s:c>
      <s:c r="X215" s="4">
        <s:v>213</s:v>
      </s:c>
      <s:c r="Y215" s="9">
        <s:f>Y214+1/3</s:f>
        <s:v>71.666666666666728</s:v>
      </s:c>
      <s:c r="AB215" s="4" t="s">
        <s:v>26</s:v>
      </s:c>
      <s:c r="AC215" s="4">
        <s:v>213</s:v>
      </s:c>
      <s:c r="AD215" s="9">
        <s:f>AD214+1/3</s:f>
        <s:v>71.666666666666728</s:v>
      </s:c>
      <s:c r="AG215" s="4" t="s">
        <s:v>26</s:v>
      </s:c>
      <s:c r="AH215" s="4">
        <s:v>213</s:v>
      </s:c>
      <s:c r="AI215" s="9">
        <s:f>AI214+1/3</s:f>
        <s:v>71.666666666666728</s:v>
      </s:c>
      <s:c r="AL215" s="4" t="s">
        <s:v>26</s:v>
      </s:c>
      <s:c r="AM215" s="4">
        <s:v>213</s:v>
      </s:c>
      <s:c r="AN215" s="9">
        <s:f>AN214+1/3</s:f>
        <s:v>71.666666666666728</s:v>
      </s:c>
      <s:c r="AQ215" s="4" t="s">
        <s:v>26</s:v>
      </s:c>
      <s:c r="AR215" s="4">
        <s:v>213</s:v>
      </s:c>
      <s:c r="AS215" s="9">
        <s:f>AS214+1/3</s:f>
        <s:v>71.666666666666728</s:v>
      </s:c>
      <s:c r="AW215" s="4" t="s">
        <s:v>26</s:v>
      </s:c>
      <s:c r="AX215" s="4">
        <s:v>213</s:v>
      </s:c>
      <s:c r="AY215" s="9">
        <s:f>AY214+1/3</s:f>
        <s:v>71.666666666666728</s:v>
      </s:c>
    </s:row>
    <s:row r="216">
      <s:c r="M216" s="4" t="s">
        <s:v>26</s:v>
      </s:c>
      <s:c r="N216" s="4">
        <s:v>214</s:v>
      </s:c>
      <s:c r="O216" s="34">
        <s:v>24</s:v>
      </s:c>
      <s:c r="P216" s="11"/>
      <s:c r="R216" s="4" t="s">
        <s:v>26</s:v>
      </s:c>
      <s:c r="S216" s="4">
        <s:v>214</s:v>
      </s:c>
      <s:c r="T216" s="34">
        <s:v>24</s:v>
      </s:c>
      <s:c r="W216" s="4" t="s">
        <s:v>26</s:v>
      </s:c>
      <s:c r="X216" s="4">
        <s:v>214</s:v>
      </s:c>
      <s:c r="Y216" s="9">
        <s:f>Y215+1/3</s:f>
        <s:v>72.000000000000057</s:v>
      </s:c>
      <s:c r="AB216" s="4" t="s">
        <s:v>26</s:v>
      </s:c>
      <s:c r="AC216" s="4">
        <s:v>214</s:v>
      </s:c>
      <s:c r="AD216" s="9">
        <s:f>AD215+1/3</s:f>
        <s:v>72.000000000000057</s:v>
      </s:c>
      <s:c r="AG216" s="4" t="s">
        <s:v>26</s:v>
      </s:c>
      <s:c r="AH216" s="4">
        <s:v>214</s:v>
      </s:c>
      <s:c r="AI216" s="9">
        <s:f>AI215+1/3</s:f>
        <s:v>72.000000000000057</s:v>
      </s:c>
      <s:c r="AL216" s="4" t="s">
        <s:v>26</s:v>
      </s:c>
      <s:c r="AM216" s="4">
        <s:v>214</s:v>
      </s:c>
      <s:c r="AN216" s="9">
        <s:f>AN215+1/3</s:f>
        <s:v>72.000000000000057</s:v>
      </s:c>
      <s:c r="AQ216" s="4" t="s">
        <s:v>26</s:v>
      </s:c>
      <s:c r="AR216" s="4">
        <s:v>214</s:v>
      </s:c>
      <s:c r="AS216" s="9">
        <s:f>AS215+1/3</s:f>
        <s:v>72.000000000000057</s:v>
      </s:c>
      <s:c r="AW216" s="4" t="s">
        <s:v>26</s:v>
      </s:c>
      <s:c r="AX216" s="4">
        <s:v>214</s:v>
      </s:c>
      <s:c r="AY216" s="9">
        <s:f>AY215+1/3</s:f>
        <s:v>72.000000000000057</s:v>
      </s:c>
    </s:row>
    <s:row r="217">
      <s:c r="M217" s="4" t="s">
        <s:v>26</s:v>
      </s:c>
      <s:c r="N217" s="4">
        <s:v>215</s:v>
      </s:c>
      <s:c r="O217" s="34">
        <s:v>24</s:v>
      </s:c>
      <s:c r="P217" s="11"/>
      <s:c r="R217" s="4" t="s">
        <s:v>26</s:v>
      </s:c>
      <s:c r="S217" s="4">
        <s:v>215</s:v>
      </s:c>
      <s:c r="T217" s="34">
        <s:v>24</s:v>
      </s:c>
      <s:c r="W217" s="4" t="s">
        <s:v>26</s:v>
      </s:c>
      <s:c r="X217" s="4">
        <s:v>215</s:v>
      </s:c>
      <s:c r="Y217" s="9">
        <s:f>Y216+1/3</s:f>
        <s:v>72.333333333333385</s:v>
      </s:c>
      <s:c r="AB217" s="4" t="s">
        <s:v>26</s:v>
      </s:c>
      <s:c r="AC217" s="4">
        <s:v>215</s:v>
      </s:c>
      <s:c r="AD217" s="9">
        <s:f>AD216+1/3</s:f>
        <s:v>72.333333333333385</s:v>
      </s:c>
      <s:c r="AG217" s="4" t="s">
        <s:v>26</s:v>
      </s:c>
      <s:c r="AH217" s="4">
        <s:v>215</s:v>
      </s:c>
      <s:c r="AI217" s="9">
        <s:f>AI216+1/3</s:f>
        <s:v>72.333333333333385</s:v>
      </s:c>
      <s:c r="AL217" s="4" t="s">
        <s:v>26</s:v>
      </s:c>
      <s:c r="AM217" s="4">
        <s:v>215</s:v>
      </s:c>
      <s:c r="AN217" s="9">
        <s:f>AN216+1/3</s:f>
        <s:v>72.333333333333385</s:v>
      </s:c>
      <s:c r="AQ217" s="4" t="s">
        <s:v>26</s:v>
      </s:c>
      <s:c r="AR217" s="4">
        <s:v>215</s:v>
      </s:c>
      <s:c r="AS217" s="9">
        <s:f>AS216+1/3</s:f>
        <s:v>72.333333333333385</s:v>
      </s:c>
      <s:c r="AW217" s="4" t="s">
        <s:v>26</s:v>
      </s:c>
      <s:c r="AX217" s="4">
        <s:v>215</s:v>
      </s:c>
      <s:c r="AY217" s="9">
        <s:f>AY216+1/3</s:f>
        <s:v>72.333333333333385</s:v>
      </s:c>
    </s:row>
    <s:row r="218">
      <s:c r="M218" s="4" t="s">
        <s:v>26</s:v>
      </s:c>
      <s:c r="N218" s="4">
        <s:v>216</s:v>
      </s:c>
      <s:c r="O218" s="34">
        <s:v>24</s:v>
      </s:c>
      <s:c r="P218" s="11"/>
      <s:c r="R218" s="4" t="s">
        <s:v>26</s:v>
      </s:c>
      <s:c r="S218" s="4">
        <s:v>216</s:v>
      </s:c>
      <s:c r="T218" s="34">
        <s:v>24</s:v>
      </s:c>
      <s:c r="W218" s="4" t="s">
        <s:v>26</s:v>
      </s:c>
      <s:c r="X218" s="4">
        <s:v>216</s:v>
      </s:c>
      <s:c r="Y218" s="9">
        <s:f>Y217+1/3</s:f>
        <s:v>72.666666666666714</s:v>
      </s:c>
      <s:c r="AB218" s="4" t="s">
        <s:v>26</s:v>
      </s:c>
      <s:c r="AC218" s="4">
        <s:v>216</s:v>
      </s:c>
      <s:c r="AD218" s="9">
        <s:f>AD217+1/3</s:f>
        <s:v>72.666666666666714</s:v>
      </s:c>
      <s:c r="AG218" s="4" t="s">
        <s:v>26</s:v>
      </s:c>
      <s:c r="AH218" s="4">
        <s:v>216</s:v>
      </s:c>
      <s:c r="AI218" s="9">
        <s:f>AI217+1/3</s:f>
        <s:v>72.666666666666714</s:v>
      </s:c>
      <s:c r="AL218" s="4" t="s">
        <s:v>26</s:v>
      </s:c>
      <s:c r="AM218" s="4">
        <s:v>216</s:v>
      </s:c>
      <s:c r="AN218" s="9">
        <s:f>AN217+1/3</s:f>
        <s:v>72.666666666666714</s:v>
      </s:c>
      <s:c r="AQ218" s="4" t="s">
        <s:v>26</s:v>
      </s:c>
      <s:c r="AR218" s="4">
        <s:v>216</s:v>
      </s:c>
      <s:c r="AS218" s="9">
        <s:f>AS217+1/3</s:f>
        <s:v>72.666666666666714</s:v>
      </s:c>
      <s:c r="AW218" s="4" t="s">
        <s:v>26</s:v>
      </s:c>
      <s:c r="AX218" s="4">
        <s:v>216</s:v>
      </s:c>
      <s:c r="AY218" s="9">
        <s:f>AY217+1/3</s:f>
        <s:v>72.666666666666714</s:v>
      </s:c>
    </s:row>
    <s:row r="219">
      <s:c r="M219" s="4" t="s">
        <s:v>26</s:v>
      </s:c>
      <s:c r="N219" s="4">
        <s:v>217</s:v>
      </s:c>
      <s:c r="O219" s="34">
        <s:v>25</s:v>
      </s:c>
      <s:c r="P219" s="39"/>
      <s:c r="R219" s="4" t="s">
        <s:v>26</s:v>
      </s:c>
      <s:c r="S219" s="4">
        <s:v>217</s:v>
      </s:c>
      <s:c r="T219" s="34">
        <s:v>25</s:v>
      </s:c>
      <s:c r="W219" s="4" t="s">
        <s:v>26</s:v>
      </s:c>
      <s:c r="X219" s="4">
        <s:v>217</s:v>
      </s:c>
      <s:c r="Y219" s="9">
        <s:f>Y218+1/3</s:f>
        <s:v>73.000000000000043</s:v>
      </s:c>
      <s:c r="AB219" s="4" t="s">
        <s:v>26</s:v>
      </s:c>
      <s:c r="AC219" s="4">
        <s:v>217</s:v>
      </s:c>
      <s:c r="AD219" s="9">
        <s:f>AD218+1/3</s:f>
        <s:v>73.000000000000043</s:v>
      </s:c>
      <s:c r="AG219" s="4" t="s">
        <s:v>26</s:v>
      </s:c>
      <s:c r="AH219" s="4">
        <s:v>217</s:v>
      </s:c>
      <s:c r="AI219" s="9">
        <s:f>AI218+1/3</s:f>
        <s:v>73.000000000000043</s:v>
      </s:c>
      <s:c r="AL219" s="4" t="s">
        <s:v>26</s:v>
      </s:c>
      <s:c r="AM219" s="4">
        <s:v>217</s:v>
      </s:c>
      <s:c r="AN219" s="9">
        <s:f>AN218+1/3</s:f>
        <s:v>73.000000000000043</s:v>
      </s:c>
      <s:c r="AQ219" s="4" t="s">
        <s:v>26</s:v>
      </s:c>
      <s:c r="AR219" s="4">
        <s:v>217</s:v>
      </s:c>
      <s:c r="AS219" s="9">
        <s:f>AS218+1/3</s:f>
        <s:v>73.000000000000043</s:v>
      </s:c>
      <s:c r="AW219" s="4" t="s">
        <s:v>26</s:v>
      </s:c>
      <s:c r="AX219" s="4">
        <s:v>217</s:v>
      </s:c>
      <s:c r="AY219" s="9">
        <s:f>AY218+1/3</s:f>
        <s:v>73.000000000000043</s:v>
      </s:c>
    </s:row>
    <s:row r="220">
      <s:c r="M220" s="4" t="s">
        <s:v>26</s:v>
      </s:c>
      <s:c r="N220" s="4">
        <s:v>218</s:v>
      </s:c>
      <s:c r="O220" s="34">
        <s:v>25</s:v>
      </s:c>
      <s:c r="P220" s="39"/>
      <s:c r="R220" s="4" t="s">
        <s:v>26</s:v>
      </s:c>
      <s:c r="S220" s="4">
        <s:v>218</s:v>
      </s:c>
      <s:c r="T220" s="34">
        <s:v>25</s:v>
      </s:c>
      <s:c r="W220" s="4" t="s">
        <s:v>26</s:v>
      </s:c>
      <s:c r="X220" s="4">
        <s:v>218</s:v>
      </s:c>
      <s:c r="Y220" s="9">
        <s:f>Y219+1/3</s:f>
        <s:v>73.333333333333371</s:v>
      </s:c>
      <s:c r="AB220" s="4" t="s">
        <s:v>26</s:v>
      </s:c>
      <s:c r="AC220" s="4">
        <s:v>218</s:v>
      </s:c>
      <s:c r="AD220" s="9">
        <s:f>AD219+1/3</s:f>
        <s:v>73.333333333333371</s:v>
      </s:c>
      <s:c r="AG220" s="4" t="s">
        <s:v>26</s:v>
      </s:c>
      <s:c r="AH220" s="4">
        <s:v>218</s:v>
      </s:c>
      <s:c r="AI220" s="9">
        <s:f>AI219+1/3</s:f>
        <s:v>73.333333333333371</s:v>
      </s:c>
      <s:c r="AL220" s="4" t="s">
        <s:v>26</s:v>
      </s:c>
      <s:c r="AM220" s="4">
        <s:v>218</s:v>
      </s:c>
      <s:c r="AN220" s="9">
        <s:f>AN219+1/3</s:f>
        <s:v>73.333333333333371</s:v>
      </s:c>
      <s:c r="AQ220" s="4" t="s">
        <s:v>26</s:v>
      </s:c>
      <s:c r="AR220" s="4">
        <s:v>218</s:v>
      </s:c>
      <s:c r="AS220" s="9">
        <s:f>AS219+1/3</s:f>
        <s:v>73.333333333333371</s:v>
      </s:c>
      <s:c r="AW220" s="4" t="s">
        <s:v>26</s:v>
      </s:c>
      <s:c r="AX220" s="4">
        <s:v>218</s:v>
      </s:c>
      <s:c r="AY220" s="9">
        <s:f>AY219+1/3</s:f>
        <s:v>73.333333333333371</s:v>
      </s:c>
    </s:row>
    <s:row r="221">
      <s:c r="M221" s="4" t="s">
        <s:v>26</s:v>
      </s:c>
      <s:c r="N221" s="4">
        <s:v>219</s:v>
      </s:c>
      <s:c r="O221" s="34">
        <s:v>25</s:v>
      </s:c>
      <s:c r="P221" s="39"/>
      <s:c r="R221" s="4" t="s">
        <s:v>26</s:v>
      </s:c>
      <s:c r="S221" s="4">
        <s:v>219</s:v>
      </s:c>
      <s:c r="T221" s="34">
        <s:v>25</s:v>
      </s:c>
      <s:c r="W221" s="4" t="s">
        <s:v>26</s:v>
      </s:c>
      <s:c r="X221" s="4">
        <s:v>219</s:v>
      </s:c>
      <s:c r="Y221" s="9">
        <s:f>Y220+1/3</s:f>
        <s:v>73.6666666666667</s:v>
      </s:c>
      <s:c r="AB221" s="4" t="s">
        <s:v>26</s:v>
      </s:c>
      <s:c r="AC221" s="4">
        <s:v>219</s:v>
      </s:c>
      <s:c r="AD221" s="9">
        <s:f>AD220+1/3</s:f>
        <s:v>73.6666666666667</s:v>
      </s:c>
      <s:c r="AG221" s="4" t="s">
        <s:v>26</s:v>
      </s:c>
      <s:c r="AH221" s="4">
        <s:v>219</s:v>
      </s:c>
      <s:c r="AI221" s="9">
        <s:f>AI220+1/3</s:f>
        <s:v>73.6666666666667</s:v>
      </s:c>
      <s:c r="AL221" s="4" t="s">
        <s:v>26</s:v>
      </s:c>
      <s:c r="AM221" s="4">
        <s:v>219</s:v>
      </s:c>
      <s:c r="AN221" s="9">
        <s:f>AN220+1/3</s:f>
        <s:v>73.6666666666667</s:v>
      </s:c>
      <s:c r="AQ221" s="4" t="s">
        <s:v>26</s:v>
      </s:c>
      <s:c r="AR221" s="4">
        <s:v>219</s:v>
      </s:c>
      <s:c r="AS221" s="9">
        <s:f>AS220+1/3</s:f>
        <s:v>73.6666666666667</s:v>
      </s:c>
      <s:c r="AW221" s="4" t="s">
        <s:v>26</s:v>
      </s:c>
      <s:c r="AX221" s="4">
        <s:v>219</s:v>
      </s:c>
      <s:c r="AY221" s="9">
        <s:f>AY220+1/3</s:f>
        <s:v>73.6666666666667</s:v>
      </s:c>
    </s:row>
    <s:row r="222">
      <s:c r="M222" s="4" t="s">
        <s:v>26</s:v>
      </s:c>
      <s:c r="N222" s="4">
        <s:v>220</s:v>
      </s:c>
      <s:c r="O222" s="34">
        <s:v>25</s:v>
      </s:c>
      <s:c r="P222" s="39"/>
      <s:c r="R222" s="4" t="s">
        <s:v>26</s:v>
      </s:c>
      <s:c r="S222" s="4">
        <s:v>220</s:v>
      </s:c>
      <s:c r="T222" s="34">
        <s:v>25</s:v>
      </s:c>
      <s:c r="W222" s="4" t="s">
        <s:v>26</s:v>
      </s:c>
      <s:c r="X222" s="4">
        <s:v>220</s:v>
      </s:c>
      <s:c r="Y222" s="9">
        <s:f>Y221+1/3</s:f>
        <s:v>74.000000000000028</s:v>
      </s:c>
      <s:c r="AB222" s="4" t="s">
        <s:v>26</s:v>
      </s:c>
      <s:c r="AC222" s="4">
        <s:v>220</s:v>
      </s:c>
      <s:c r="AD222" s="9">
        <s:f>AD221+1/3</s:f>
        <s:v>74.000000000000028</s:v>
      </s:c>
      <s:c r="AG222" s="4" t="s">
        <s:v>26</s:v>
      </s:c>
      <s:c r="AH222" s="4">
        <s:v>220</s:v>
      </s:c>
      <s:c r="AI222" s="9">
        <s:f>AI221+1/3</s:f>
        <s:v>74.000000000000028</s:v>
      </s:c>
      <s:c r="AL222" s="4" t="s">
        <s:v>26</s:v>
      </s:c>
      <s:c r="AM222" s="4">
        <s:v>220</s:v>
      </s:c>
      <s:c r="AN222" s="9">
        <s:f>AN221+1/3</s:f>
        <s:v>74.000000000000028</s:v>
      </s:c>
      <s:c r="AQ222" s="4" t="s">
        <s:v>26</s:v>
      </s:c>
      <s:c r="AR222" s="4">
        <s:v>220</s:v>
      </s:c>
      <s:c r="AS222" s="9">
        <s:f>AS221+1/3</s:f>
        <s:v>74.000000000000028</s:v>
      </s:c>
      <s:c r="AW222" s="4" t="s">
        <s:v>26</s:v>
      </s:c>
      <s:c r="AX222" s="4">
        <s:v>220</s:v>
      </s:c>
      <s:c r="AY222" s="9">
        <s:f>AY221+1/3</s:f>
        <s:v>74.000000000000028</s:v>
      </s:c>
    </s:row>
    <s:row r="223">
      <s:c r="M223" s="4" t="s">
        <s:v>26</s:v>
      </s:c>
      <s:c r="N223" s="4">
        <s:v>221</s:v>
      </s:c>
      <s:c r="O223" s="34">
        <s:v>25</s:v>
      </s:c>
      <s:c r="P223" s="39"/>
      <s:c r="R223" s="4" t="s">
        <s:v>26</s:v>
      </s:c>
      <s:c r="S223" s="4">
        <s:v>221</s:v>
      </s:c>
      <s:c r="T223" s="34">
        <s:v>25</s:v>
      </s:c>
      <s:c r="W223" s="4" t="s">
        <s:v>26</s:v>
      </s:c>
      <s:c r="X223" s="4">
        <s:v>221</s:v>
      </s:c>
      <s:c r="Y223" s="9">
        <s:f>Y222+1/3</s:f>
        <s:v>74.333333333333357</s:v>
      </s:c>
      <s:c r="AB223" s="4" t="s">
        <s:v>26</s:v>
      </s:c>
      <s:c r="AC223" s="4">
        <s:v>221</s:v>
      </s:c>
      <s:c r="AD223" s="9">
        <s:f>AD222+1/3</s:f>
        <s:v>74.333333333333357</s:v>
      </s:c>
      <s:c r="AG223" s="4" t="s">
        <s:v>26</s:v>
      </s:c>
      <s:c r="AH223" s="4">
        <s:v>221</s:v>
      </s:c>
      <s:c r="AI223" s="9">
        <s:f>AI222+1/3</s:f>
        <s:v>74.333333333333357</s:v>
      </s:c>
      <s:c r="AL223" s="4" t="s">
        <s:v>26</s:v>
      </s:c>
      <s:c r="AM223" s="4">
        <s:v>221</s:v>
      </s:c>
      <s:c r="AN223" s="9">
        <s:f>AN222+1/3</s:f>
        <s:v>74.333333333333357</s:v>
      </s:c>
      <s:c r="AQ223" s="4" t="s">
        <s:v>26</s:v>
      </s:c>
      <s:c r="AR223" s="4">
        <s:v>221</s:v>
      </s:c>
      <s:c r="AS223" s="9">
        <s:f>AS222+1/3</s:f>
        <s:v>74.333333333333357</s:v>
      </s:c>
      <s:c r="AW223" s="4" t="s">
        <s:v>26</s:v>
      </s:c>
      <s:c r="AX223" s="4">
        <s:v>221</s:v>
      </s:c>
      <s:c r="AY223" s="9">
        <s:f>AY222+1/3</s:f>
        <s:v>74.333333333333357</s:v>
      </s:c>
    </s:row>
    <s:row r="224">
      <s:c r="M224" s="4" t="s">
        <s:v>26</s:v>
      </s:c>
      <s:c r="N224" s="4">
        <s:v>222</s:v>
      </s:c>
      <s:c r="O224" s="34">
        <s:v>25</s:v>
      </s:c>
      <s:c r="P224" s="39"/>
      <s:c r="R224" s="4" t="s">
        <s:v>26</s:v>
      </s:c>
      <s:c r="S224" s="4">
        <s:v>222</s:v>
      </s:c>
      <s:c r="T224" s="34">
        <s:v>25</s:v>
      </s:c>
      <s:c r="W224" s="4" t="s">
        <s:v>26</s:v>
      </s:c>
      <s:c r="X224" s="4">
        <s:v>222</s:v>
      </s:c>
      <s:c r="Y224" s="9">
        <s:f>Y223+1/3</s:f>
        <s:v>74.666666666666686</s:v>
      </s:c>
      <s:c r="AB224" s="4" t="s">
        <s:v>26</s:v>
      </s:c>
      <s:c r="AC224" s="4">
        <s:v>222</s:v>
      </s:c>
      <s:c r="AD224" s="9">
        <s:f>AD223+1/3</s:f>
        <s:v>74.666666666666686</s:v>
      </s:c>
      <s:c r="AG224" s="4" t="s">
        <s:v>26</s:v>
      </s:c>
      <s:c r="AH224" s="4">
        <s:v>222</s:v>
      </s:c>
      <s:c r="AI224" s="9">
        <s:f>AI223+1/3</s:f>
        <s:v>74.666666666666686</s:v>
      </s:c>
      <s:c r="AL224" s="4" t="s">
        <s:v>26</s:v>
      </s:c>
      <s:c r="AM224" s="4">
        <s:v>222</s:v>
      </s:c>
      <s:c r="AN224" s="9">
        <s:f>AN223+1/3</s:f>
        <s:v>74.666666666666686</s:v>
      </s:c>
      <s:c r="AQ224" s="4" t="s">
        <s:v>26</s:v>
      </s:c>
      <s:c r="AR224" s="4">
        <s:v>222</s:v>
      </s:c>
      <s:c r="AS224" s="9">
        <s:f>AS223+1/3</s:f>
        <s:v>74.666666666666686</s:v>
      </s:c>
      <s:c r="AW224" s="4" t="s">
        <s:v>26</s:v>
      </s:c>
      <s:c r="AX224" s="4">
        <s:v>222</s:v>
      </s:c>
      <s:c r="AY224" s="9">
        <s:f>AY223+1/3</s:f>
        <s:v>74.666666666666686</s:v>
      </s:c>
    </s:row>
    <s:row r="225">
      <s:c r="M225" s="4" t="s">
        <s:v>26</s:v>
      </s:c>
      <s:c r="N225" s="4">
        <s:v>223</s:v>
      </s:c>
      <s:c r="O225" s="34">
        <s:v>25</s:v>
      </s:c>
      <s:c r="P225" s="39"/>
      <s:c r="R225" s="4" t="s">
        <s:v>26</s:v>
      </s:c>
      <s:c r="S225" s="4">
        <s:v>223</s:v>
      </s:c>
      <s:c r="T225" s="34">
        <s:v>25</s:v>
      </s:c>
      <s:c r="W225" s="4" t="s">
        <s:v>26</s:v>
      </s:c>
      <s:c r="X225" s="4">
        <s:v>223</s:v>
      </s:c>
      <s:c r="Y225" s="9">
        <s:f>Y224+1/3</s:f>
        <s:v>75.000000000000014</s:v>
      </s:c>
      <s:c r="AB225" s="4" t="s">
        <s:v>26</s:v>
      </s:c>
      <s:c r="AC225" s="4">
        <s:v>223</s:v>
      </s:c>
      <s:c r="AD225" s="9">
        <s:f>AD224+1/3</s:f>
        <s:v>75.000000000000014</s:v>
      </s:c>
      <s:c r="AG225" s="4" t="s">
        <s:v>26</s:v>
      </s:c>
      <s:c r="AH225" s="4">
        <s:v>223</s:v>
      </s:c>
      <s:c r="AI225" s="9">
        <s:f>AI224+1/3</s:f>
        <s:v>75.000000000000014</s:v>
      </s:c>
      <s:c r="AL225" s="4" t="s">
        <s:v>26</s:v>
      </s:c>
      <s:c r="AM225" s="4">
        <s:v>223</s:v>
      </s:c>
      <s:c r="AN225" s="9">
        <s:f>AN224+1/3</s:f>
        <s:v>75.000000000000014</s:v>
      </s:c>
      <s:c r="AQ225" s="4" t="s">
        <s:v>26</s:v>
      </s:c>
      <s:c r="AR225" s="4">
        <s:v>223</s:v>
      </s:c>
      <s:c r="AS225" s="9">
        <s:f>AS224+1/3</s:f>
        <s:v>75.000000000000014</s:v>
      </s:c>
      <s:c r="AW225" s="4" t="s">
        <s:v>26</s:v>
      </s:c>
      <s:c r="AX225" s="4">
        <s:v>223</s:v>
      </s:c>
      <s:c r="AY225" s="9">
        <s:f>AY224+1/3</s:f>
        <s:v>75.000000000000014</s:v>
      </s:c>
    </s:row>
    <s:row r="226">
      <s:c r="M226" s="4" t="s">
        <s:v>26</s:v>
      </s:c>
      <s:c r="N226" s="4">
        <s:v>224</s:v>
      </s:c>
      <s:c r="O226" s="34">
        <s:v>25</s:v>
      </s:c>
      <s:c r="P226" s="39"/>
      <s:c r="R226" s="4" t="s">
        <s:v>26</s:v>
      </s:c>
      <s:c r="S226" s="4">
        <s:v>224</s:v>
      </s:c>
      <s:c r="T226" s="34">
        <s:v>25</s:v>
      </s:c>
      <s:c r="W226" s="4" t="s">
        <s:v>26</s:v>
      </s:c>
      <s:c r="X226" s="4">
        <s:v>224</s:v>
      </s:c>
      <s:c r="Y226" s="9">
        <s:f>Y225+1/3</s:f>
        <s:v>75.333333333333343</s:v>
      </s:c>
      <s:c r="AB226" s="4" t="s">
        <s:v>26</s:v>
      </s:c>
      <s:c r="AC226" s="4">
        <s:v>224</s:v>
      </s:c>
      <s:c r="AD226" s="9">
        <s:f>AD225+1/3</s:f>
        <s:v>75.333333333333343</s:v>
      </s:c>
      <s:c r="AG226" s="4" t="s">
        <s:v>26</s:v>
      </s:c>
      <s:c r="AH226" s="4">
        <s:v>224</s:v>
      </s:c>
      <s:c r="AI226" s="9">
        <s:f>AI225+1/3</s:f>
        <s:v>75.333333333333343</s:v>
      </s:c>
      <s:c r="AL226" s="4" t="s">
        <s:v>26</s:v>
      </s:c>
      <s:c r="AM226" s="4">
        <s:v>224</s:v>
      </s:c>
      <s:c r="AN226" s="9">
        <s:f>AN225+1/3</s:f>
        <s:v>75.333333333333343</s:v>
      </s:c>
      <s:c r="AQ226" s="4" t="s">
        <s:v>26</s:v>
      </s:c>
      <s:c r="AR226" s="4">
        <s:v>224</s:v>
      </s:c>
      <s:c r="AS226" s="9">
        <s:f>AS225+1/3</s:f>
        <s:v>75.333333333333343</s:v>
      </s:c>
      <s:c r="AW226" s="4" t="s">
        <s:v>26</s:v>
      </s:c>
      <s:c r="AX226" s="4">
        <s:v>224</s:v>
      </s:c>
      <s:c r="AY226" s="9">
        <s:f>AY225+1/3</s:f>
        <s:v>75.333333333333343</s:v>
      </s:c>
    </s:row>
    <s:row r="227">
      <s:c r="M227" s="4" t="s">
        <s:v>26</s:v>
      </s:c>
      <s:c r="N227" s="4">
        <s:v>225</s:v>
      </s:c>
      <s:c r="O227" s="34">
        <s:v>25</s:v>
      </s:c>
      <s:c r="P227" s="39"/>
      <s:c r="R227" s="4" t="s">
        <s:v>26</s:v>
      </s:c>
      <s:c r="S227" s="4">
        <s:v>225</s:v>
      </s:c>
      <s:c r="T227" s="34">
        <s:v>25</s:v>
      </s:c>
      <s:c r="W227" s="4" t="s">
        <s:v>26</s:v>
      </s:c>
      <s:c r="X227" s="4">
        <s:v>225</s:v>
      </s:c>
      <s:c r="Y227" s="9">
        <s:f>Y226+1/3</s:f>
        <s:v>75.666666666666671</s:v>
      </s:c>
      <s:c r="AB227" s="4" t="s">
        <s:v>26</s:v>
      </s:c>
      <s:c r="AC227" s="4">
        <s:v>225</s:v>
      </s:c>
      <s:c r="AD227" s="9">
        <s:f>AD226+1/3</s:f>
        <s:v>75.666666666666671</s:v>
      </s:c>
      <s:c r="AG227" s="4" t="s">
        <s:v>26</s:v>
      </s:c>
      <s:c r="AH227" s="4">
        <s:v>225</s:v>
      </s:c>
      <s:c r="AI227" s="9">
        <s:f>AI226+1/3</s:f>
        <s:v>75.666666666666671</s:v>
      </s:c>
      <s:c r="AL227" s="4" t="s">
        <s:v>26</s:v>
      </s:c>
      <s:c r="AM227" s="4">
        <s:v>225</s:v>
      </s:c>
      <s:c r="AN227" s="9">
        <s:f>AN226+1/3</s:f>
        <s:v>75.666666666666671</s:v>
      </s:c>
      <s:c r="AQ227" s="4" t="s">
        <s:v>26</s:v>
      </s:c>
      <s:c r="AR227" s="4">
        <s:v>225</s:v>
      </s:c>
      <s:c r="AS227" s="9">
        <s:f>AS226+1/3</s:f>
        <s:v>75.666666666666671</s:v>
      </s:c>
      <s:c r="AW227" s="4" t="s">
        <s:v>26</s:v>
      </s:c>
      <s:c r="AX227" s="4">
        <s:v>225</s:v>
      </s:c>
      <s:c r="AY227" s="9">
        <s:f>AY226+1/3</s:f>
        <s:v>75.666666666666671</s:v>
      </s:c>
    </s:row>
    <s:row r="228">
      <s:c r="M228" s="4" t="s">
        <s:v>26</s:v>
      </s:c>
      <s:c r="N228" s="4">
        <s:v>226</s:v>
      </s:c>
      <s:c r="O228" s="34">
        <s:v>26</s:v>
      </s:c>
      <s:c r="P228" s="11"/>
      <s:c r="R228" s="4" t="s">
        <s:v>26</s:v>
      </s:c>
      <s:c r="S228" s="4">
        <s:v>226</s:v>
      </s:c>
      <s:c r="T228" s="34">
        <s:v>26</s:v>
      </s:c>
      <s:c r="W228" s="4" t="s">
        <s:v>26</s:v>
      </s:c>
      <s:c r="X228" s="4">
        <s:v>226</s:v>
      </s:c>
      <s:c r="Y228" s="9">
        <s:f>Y227+1/3</s:f>
        <s:v>76</s:v>
      </s:c>
      <s:c r="AB228" s="4" t="s">
        <s:v>26</s:v>
      </s:c>
      <s:c r="AC228" s="4">
        <s:v>226</s:v>
      </s:c>
      <s:c r="AD228" s="9">
        <s:f>AD227+1/3</s:f>
        <s:v>76</s:v>
      </s:c>
      <s:c r="AG228" s="4" t="s">
        <s:v>26</s:v>
      </s:c>
      <s:c r="AH228" s="4">
        <s:v>226</s:v>
      </s:c>
      <s:c r="AI228" s="9">
        <s:f>AI227+1/3</s:f>
        <s:v>76</s:v>
      </s:c>
      <s:c r="AL228" s="4" t="s">
        <s:v>26</s:v>
      </s:c>
      <s:c r="AM228" s="4">
        <s:v>226</s:v>
      </s:c>
      <s:c r="AN228" s="9">
        <s:f>AN227+1/3</s:f>
        <s:v>76</s:v>
      </s:c>
      <s:c r="AQ228" s="4" t="s">
        <s:v>26</s:v>
      </s:c>
      <s:c r="AR228" s="4">
        <s:v>226</s:v>
      </s:c>
      <s:c r="AS228" s="9">
        <s:f>AS227+1/3</s:f>
        <s:v>76</s:v>
      </s:c>
      <s:c r="AW228" s="4" t="s">
        <s:v>26</s:v>
      </s:c>
      <s:c r="AX228" s="4">
        <s:v>226</s:v>
      </s:c>
      <s:c r="AY228" s="9">
        <s:f>AY227+1/3</s:f>
        <s:v>76</s:v>
      </s:c>
    </s:row>
    <s:row r="229">
      <s:c r="M229" s="4" t="s">
        <s:v>26</s:v>
      </s:c>
      <s:c r="N229" s="4">
        <s:v>227</s:v>
      </s:c>
      <s:c r="O229" s="34">
        <s:v>26</s:v>
      </s:c>
      <s:c r="P229" s="11"/>
      <s:c r="R229" s="4" t="s">
        <s:v>26</s:v>
      </s:c>
      <s:c r="S229" s="4">
        <s:v>227</s:v>
      </s:c>
      <s:c r="T229" s="34">
        <s:v>26</s:v>
      </s:c>
      <s:c r="W229" s="4" t="s">
        <s:v>26</s:v>
      </s:c>
      <s:c r="X229" s="4">
        <s:v>227</s:v>
      </s:c>
      <s:c r="Y229" s="9">
        <s:f>Y228+1/3</s:f>
        <s:v>76.333333333333329</s:v>
      </s:c>
      <s:c r="AB229" s="4" t="s">
        <s:v>26</s:v>
      </s:c>
      <s:c r="AC229" s="4">
        <s:v>227</s:v>
      </s:c>
      <s:c r="AD229" s="9">
        <s:f>AD228+1/3</s:f>
        <s:v>76.333333333333329</s:v>
      </s:c>
      <s:c r="AG229" s="4" t="s">
        <s:v>26</s:v>
      </s:c>
      <s:c r="AH229" s="4">
        <s:v>227</s:v>
      </s:c>
      <s:c r="AI229" s="9">
        <s:f>AI228+1/3</s:f>
        <s:v>76.333333333333329</s:v>
      </s:c>
      <s:c r="AL229" s="4" t="s">
        <s:v>26</s:v>
      </s:c>
      <s:c r="AM229" s="4">
        <s:v>227</s:v>
      </s:c>
      <s:c r="AN229" s="9">
        <s:f>AN228+1/3</s:f>
        <s:v>76.333333333333329</s:v>
      </s:c>
      <s:c r="AQ229" s="4" t="s">
        <s:v>26</s:v>
      </s:c>
      <s:c r="AR229" s="4">
        <s:v>227</s:v>
      </s:c>
      <s:c r="AS229" s="9">
        <s:f>AS228+1/3</s:f>
        <s:v>76.333333333333329</s:v>
      </s:c>
      <s:c r="AW229" s="4" t="s">
        <s:v>26</s:v>
      </s:c>
      <s:c r="AX229" s="4">
        <s:v>227</s:v>
      </s:c>
      <s:c r="AY229" s="9">
        <s:f>AY228+1/3</s:f>
        <s:v>76.333333333333329</s:v>
      </s:c>
    </s:row>
    <s:row r="230">
      <s:c r="M230" s="4" t="s">
        <s:v>26</s:v>
      </s:c>
      <s:c r="N230" s="4">
        <s:v>228</s:v>
      </s:c>
      <s:c r="O230" s="34">
        <s:v>26</s:v>
      </s:c>
      <s:c r="P230" s="11"/>
      <s:c r="R230" s="4" t="s">
        <s:v>26</s:v>
      </s:c>
      <s:c r="S230" s="4">
        <s:v>228</s:v>
      </s:c>
      <s:c r="T230" s="34">
        <s:v>26</s:v>
      </s:c>
      <s:c r="W230" s="4" t="s">
        <s:v>26</s:v>
      </s:c>
      <s:c r="X230" s="4">
        <s:v>228</s:v>
      </s:c>
      <s:c r="Y230" s="9">
        <s:f>Y229+1/3</s:f>
        <s:v>76.666666666666657</s:v>
      </s:c>
      <s:c r="AB230" s="4" t="s">
        <s:v>26</s:v>
      </s:c>
      <s:c r="AC230" s="4">
        <s:v>228</s:v>
      </s:c>
      <s:c r="AD230" s="9">
        <s:f>AD229+1/3</s:f>
        <s:v>76.666666666666657</s:v>
      </s:c>
      <s:c r="AG230" s="4" t="s">
        <s:v>26</s:v>
      </s:c>
      <s:c r="AH230" s="4">
        <s:v>228</s:v>
      </s:c>
      <s:c r="AI230" s="9">
        <s:f>AI229+1/3</s:f>
        <s:v>76.666666666666657</s:v>
      </s:c>
      <s:c r="AL230" s="4" t="s">
        <s:v>26</s:v>
      </s:c>
      <s:c r="AM230" s="4">
        <s:v>228</s:v>
      </s:c>
      <s:c r="AN230" s="9">
        <s:f>AN229+1/3</s:f>
        <s:v>76.666666666666657</s:v>
      </s:c>
      <s:c r="AQ230" s="4" t="s">
        <s:v>26</s:v>
      </s:c>
      <s:c r="AR230" s="4">
        <s:v>228</s:v>
      </s:c>
      <s:c r="AS230" s="9">
        <s:f>AS229+1/3</s:f>
        <s:v>76.666666666666657</s:v>
      </s:c>
      <s:c r="AW230" s="4" t="s">
        <s:v>26</s:v>
      </s:c>
      <s:c r="AX230" s="4">
        <s:v>228</s:v>
      </s:c>
      <s:c r="AY230" s="9">
        <s:f>AY229+1/3</s:f>
        <s:v>76.666666666666657</s:v>
      </s:c>
    </s:row>
    <s:row r="231">
      <s:c r="M231" s="4" t="s">
        <s:v>26</s:v>
      </s:c>
      <s:c r="N231" s="4">
        <s:v>229</s:v>
      </s:c>
      <s:c r="O231" s="34">
        <s:v>26</s:v>
      </s:c>
      <s:c r="P231" s="11"/>
      <s:c r="R231" s="4" t="s">
        <s:v>26</s:v>
      </s:c>
      <s:c r="S231" s="4">
        <s:v>229</s:v>
      </s:c>
      <s:c r="T231" s="34">
        <s:v>26</s:v>
      </s:c>
      <s:c r="W231" s="4" t="s">
        <s:v>26</s:v>
      </s:c>
      <s:c r="X231" s="4">
        <s:v>229</s:v>
      </s:c>
      <s:c r="Y231" s="9">
        <s:f>Y230+1/3</s:f>
        <s:v>76.999999999999986</s:v>
      </s:c>
      <s:c r="AB231" s="4" t="s">
        <s:v>26</s:v>
      </s:c>
      <s:c r="AC231" s="4">
        <s:v>229</s:v>
      </s:c>
      <s:c r="AD231" s="9">
        <s:f>AD230+1/3</s:f>
        <s:v>76.999999999999986</s:v>
      </s:c>
      <s:c r="AG231" s="4" t="s">
        <s:v>26</s:v>
      </s:c>
      <s:c r="AH231" s="4">
        <s:v>229</s:v>
      </s:c>
      <s:c r="AI231" s="9">
        <s:f>AI230+1/3</s:f>
        <s:v>76.999999999999986</s:v>
      </s:c>
      <s:c r="AL231" s="4" t="s">
        <s:v>26</s:v>
      </s:c>
      <s:c r="AM231" s="4">
        <s:v>229</s:v>
      </s:c>
      <s:c r="AN231" s="9">
        <s:f>AN230+1/3</s:f>
        <s:v>76.999999999999986</s:v>
      </s:c>
      <s:c r="AQ231" s="4" t="s">
        <s:v>26</s:v>
      </s:c>
      <s:c r="AR231" s="4">
        <s:v>229</s:v>
      </s:c>
      <s:c r="AS231" s="9">
        <s:f>AS230+1/3</s:f>
        <s:v>76.999999999999986</s:v>
      </s:c>
      <s:c r="AW231" s="4" t="s">
        <s:v>26</s:v>
      </s:c>
      <s:c r="AX231" s="4">
        <s:v>229</s:v>
      </s:c>
      <s:c r="AY231" s="9">
        <s:f>AY230+1/3</s:f>
        <s:v>76.999999999999986</s:v>
      </s:c>
    </s:row>
    <s:row r="232">
      <s:c r="M232" s="4" t="s">
        <s:v>26</s:v>
      </s:c>
      <s:c r="N232" s="4">
        <s:v>230</s:v>
      </s:c>
      <s:c r="O232" s="34">
        <s:v>26</s:v>
      </s:c>
      <s:c r="P232" s="11"/>
      <s:c r="R232" s="4" t="s">
        <s:v>26</s:v>
      </s:c>
      <s:c r="S232" s="4">
        <s:v>230</s:v>
      </s:c>
      <s:c r="T232" s="34">
        <s:v>26</s:v>
      </s:c>
      <s:c r="W232" s="4" t="s">
        <s:v>26</s:v>
      </s:c>
      <s:c r="X232" s="4">
        <s:v>230</s:v>
      </s:c>
      <s:c r="Y232" s="9">
        <s:f>Y231+1/3</s:f>
        <s:v>77.333333333333314</s:v>
      </s:c>
      <s:c r="AB232" s="4" t="s">
        <s:v>26</s:v>
      </s:c>
      <s:c r="AC232" s="4">
        <s:v>230</s:v>
      </s:c>
      <s:c r="AD232" s="9">
        <s:f>AD231+1/3</s:f>
        <s:v>77.333333333333314</s:v>
      </s:c>
      <s:c r="AG232" s="4" t="s">
        <s:v>26</s:v>
      </s:c>
      <s:c r="AH232" s="4">
        <s:v>230</s:v>
      </s:c>
      <s:c r="AI232" s="9">
        <s:f>AI231+1/3</s:f>
        <s:v>77.333333333333314</s:v>
      </s:c>
      <s:c r="AL232" s="4" t="s">
        <s:v>26</s:v>
      </s:c>
      <s:c r="AM232" s="4">
        <s:v>230</s:v>
      </s:c>
      <s:c r="AN232" s="9">
        <s:f>AN231+1/3</s:f>
        <s:v>77.333333333333314</s:v>
      </s:c>
      <s:c r="AQ232" s="4" t="s">
        <s:v>26</s:v>
      </s:c>
      <s:c r="AR232" s="4">
        <s:v>230</s:v>
      </s:c>
      <s:c r="AS232" s="9">
        <s:f>AS231+1/3</s:f>
        <s:v>77.333333333333314</s:v>
      </s:c>
      <s:c r="AW232" s="4" t="s">
        <s:v>26</s:v>
      </s:c>
      <s:c r="AX232" s="4">
        <s:v>230</s:v>
      </s:c>
      <s:c r="AY232" s="9">
        <s:f>AY231+1/3</s:f>
        <s:v>77.333333333333314</s:v>
      </s:c>
    </s:row>
    <s:row r="233">
      <s:c r="M233" s="4" t="s">
        <s:v>26</s:v>
      </s:c>
      <s:c r="N233" s="4">
        <s:v>231</s:v>
      </s:c>
      <s:c r="O233" s="34">
        <s:v>26</s:v>
      </s:c>
      <s:c r="P233" s="11"/>
      <s:c r="R233" s="4" t="s">
        <s:v>26</s:v>
      </s:c>
      <s:c r="S233" s="4">
        <s:v>231</s:v>
      </s:c>
      <s:c r="T233" s="34">
        <s:v>26</s:v>
      </s:c>
      <s:c r="W233" s="4" t="s">
        <s:v>26</s:v>
      </s:c>
      <s:c r="X233" s="4">
        <s:v>231</s:v>
      </s:c>
      <s:c r="Y233" s="9">
        <s:f>Y232+1/3</s:f>
        <s:v>77.666666666666643</s:v>
      </s:c>
      <s:c r="AB233" s="4" t="s">
        <s:v>26</s:v>
      </s:c>
      <s:c r="AC233" s="4">
        <s:v>231</s:v>
      </s:c>
      <s:c r="AD233" s="9">
        <s:f>AD232+1/3</s:f>
        <s:v>77.666666666666643</s:v>
      </s:c>
      <s:c r="AG233" s="4" t="s">
        <s:v>26</s:v>
      </s:c>
      <s:c r="AH233" s="4">
        <s:v>231</s:v>
      </s:c>
      <s:c r="AI233" s="9">
        <s:f>AI232+1/3</s:f>
        <s:v>77.666666666666643</s:v>
      </s:c>
      <s:c r="AL233" s="4" t="s">
        <s:v>26</s:v>
      </s:c>
      <s:c r="AM233" s="4">
        <s:v>231</s:v>
      </s:c>
      <s:c r="AN233" s="9">
        <s:f>AN232+1/3</s:f>
        <s:v>77.666666666666643</s:v>
      </s:c>
      <s:c r="AQ233" s="4" t="s">
        <s:v>26</s:v>
      </s:c>
      <s:c r="AR233" s="4">
        <s:v>231</s:v>
      </s:c>
      <s:c r="AS233" s="9">
        <s:f>AS232+1/3</s:f>
        <s:v>77.666666666666643</s:v>
      </s:c>
      <s:c r="AW233" s="4" t="s">
        <s:v>26</s:v>
      </s:c>
      <s:c r="AX233" s="4">
        <s:v>231</s:v>
      </s:c>
      <s:c r="AY233" s="9">
        <s:f>AY232+1/3</s:f>
        <s:v>77.666666666666643</s:v>
      </s:c>
    </s:row>
    <s:row r="234">
      <s:c r="M234" s="4" t="s">
        <s:v>26</s:v>
      </s:c>
      <s:c r="N234" s="4">
        <s:v>232</s:v>
      </s:c>
      <s:c r="O234" s="34">
        <s:v>26</s:v>
      </s:c>
      <s:c r="P234" s="11"/>
      <s:c r="R234" s="4" t="s">
        <s:v>26</s:v>
      </s:c>
      <s:c r="S234" s="4">
        <s:v>232</s:v>
      </s:c>
      <s:c r="T234" s="34">
        <s:v>26</s:v>
      </s:c>
      <s:c r="W234" s="4" t="s">
        <s:v>26</s:v>
      </s:c>
      <s:c r="X234" s="4">
        <s:v>232</s:v>
      </s:c>
      <s:c r="Y234" s="9">
        <s:f>Y233+1/3</s:f>
        <s:v>77.999999999999972</s:v>
      </s:c>
      <s:c r="AB234" s="4" t="s">
        <s:v>26</s:v>
      </s:c>
      <s:c r="AC234" s="4">
        <s:v>232</s:v>
      </s:c>
      <s:c r="AD234" s="9">
        <s:f>AD233+1/3</s:f>
        <s:v>77.999999999999972</s:v>
      </s:c>
      <s:c r="AG234" s="4" t="s">
        <s:v>26</s:v>
      </s:c>
      <s:c r="AH234" s="4">
        <s:v>232</s:v>
      </s:c>
      <s:c r="AI234" s="9">
        <s:f>AI233+1/3</s:f>
        <s:v>77.999999999999972</s:v>
      </s:c>
      <s:c r="AL234" s="4" t="s">
        <s:v>26</s:v>
      </s:c>
      <s:c r="AM234" s="4">
        <s:v>232</s:v>
      </s:c>
      <s:c r="AN234" s="9">
        <s:f>AN233+1/3</s:f>
        <s:v>77.999999999999972</s:v>
      </s:c>
      <s:c r="AQ234" s="4" t="s">
        <s:v>26</s:v>
      </s:c>
      <s:c r="AR234" s="4">
        <s:v>232</s:v>
      </s:c>
      <s:c r="AS234" s="9">
        <s:f>AS233+1/3</s:f>
        <s:v>77.999999999999972</s:v>
      </s:c>
      <s:c r="AW234" s="4" t="s">
        <s:v>26</s:v>
      </s:c>
      <s:c r="AX234" s="4">
        <s:v>232</s:v>
      </s:c>
      <s:c r="AY234" s="9">
        <s:f>AY233+1/3</s:f>
        <s:v>77.999999999999972</s:v>
      </s:c>
    </s:row>
    <s:row r="235">
      <s:c r="M235" s="4" t="s">
        <s:v>26</s:v>
      </s:c>
      <s:c r="N235" s="4">
        <s:v>233</s:v>
      </s:c>
      <s:c r="O235" s="34">
        <s:v>26</s:v>
      </s:c>
      <s:c r="P235" s="11"/>
      <s:c r="R235" s="4" t="s">
        <s:v>26</s:v>
      </s:c>
      <s:c r="S235" s="4">
        <s:v>233</s:v>
      </s:c>
      <s:c r="T235" s="34">
        <s:v>26</s:v>
      </s:c>
      <s:c r="W235" s="4" t="s">
        <s:v>26</s:v>
      </s:c>
      <s:c r="X235" s="4">
        <s:v>233</s:v>
      </s:c>
      <s:c r="Y235" s="9">
        <s:f>Y234+1/3</s:f>
        <s:v>78.3333333333333</s:v>
      </s:c>
      <s:c r="AB235" s="4" t="s">
        <s:v>26</s:v>
      </s:c>
      <s:c r="AC235" s="4">
        <s:v>233</s:v>
      </s:c>
      <s:c r="AD235" s="9">
        <s:f>AD234+1/3</s:f>
        <s:v>78.3333333333333</s:v>
      </s:c>
      <s:c r="AG235" s="4" t="s">
        <s:v>26</s:v>
      </s:c>
      <s:c r="AH235" s="4">
        <s:v>233</s:v>
      </s:c>
      <s:c r="AI235" s="9">
        <s:f>AI234+1/3</s:f>
        <s:v>78.3333333333333</s:v>
      </s:c>
      <s:c r="AL235" s="4" t="s">
        <s:v>26</s:v>
      </s:c>
      <s:c r="AM235" s="4">
        <s:v>233</s:v>
      </s:c>
      <s:c r="AN235" s="9">
        <s:f>AN234+1/3</s:f>
        <s:v>78.3333333333333</s:v>
      </s:c>
      <s:c r="AQ235" s="4" t="s">
        <s:v>26</s:v>
      </s:c>
      <s:c r="AR235" s="4">
        <s:v>233</s:v>
      </s:c>
      <s:c r="AS235" s="9">
        <s:f>AS234+1/3</s:f>
        <s:v>78.3333333333333</s:v>
      </s:c>
      <s:c r="AW235" s="4" t="s">
        <s:v>26</s:v>
      </s:c>
      <s:c r="AX235" s="4">
        <s:v>233</s:v>
      </s:c>
      <s:c r="AY235" s="9">
        <s:f>AY234+1/3</s:f>
        <s:v>78.3333333333333</s:v>
      </s:c>
    </s:row>
    <s:row r="236">
      <s:c r="M236" s="4" t="s">
        <s:v>26</s:v>
      </s:c>
      <s:c r="N236" s="4">
        <s:v>234</s:v>
      </s:c>
      <s:c r="O236" s="34">
        <s:v>26</s:v>
      </s:c>
      <s:c r="P236" s="11"/>
      <s:c r="R236" s="4" t="s">
        <s:v>26</s:v>
      </s:c>
      <s:c r="S236" s="4">
        <s:v>234</s:v>
      </s:c>
      <s:c r="T236" s="34">
        <s:v>26</s:v>
      </s:c>
      <s:c r="W236" s="4" t="s">
        <s:v>26</s:v>
      </s:c>
      <s:c r="X236" s="4">
        <s:v>234</s:v>
      </s:c>
      <s:c r="Y236" s="9">
        <s:f>Y235+1/3</s:f>
        <s:v>78.666666666666629</s:v>
      </s:c>
      <s:c r="AB236" s="4" t="s">
        <s:v>26</s:v>
      </s:c>
      <s:c r="AC236" s="4">
        <s:v>234</s:v>
      </s:c>
      <s:c r="AD236" s="9">
        <s:f>AD235+1/3</s:f>
        <s:v>78.666666666666629</s:v>
      </s:c>
      <s:c r="AG236" s="4" t="s">
        <s:v>26</s:v>
      </s:c>
      <s:c r="AH236" s="4">
        <s:v>234</s:v>
      </s:c>
      <s:c r="AI236" s="9">
        <s:f>AI235+1/3</s:f>
        <s:v>78.666666666666629</s:v>
      </s:c>
      <s:c r="AL236" s="4" t="s">
        <s:v>26</s:v>
      </s:c>
      <s:c r="AM236" s="4">
        <s:v>234</s:v>
      </s:c>
      <s:c r="AN236" s="9">
        <s:f>AN235+1/3</s:f>
        <s:v>78.666666666666629</s:v>
      </s:c>
      <s:c r="AQ236" s="4" t="s">
        <s:v>26</s:v>
      </s:c>
      <s:c r="AR236" s="4">
        <s:v>234</s:v>
      </s:c>
      <s:c r="AS236" s="9">
        <s:f>AS235+1/3</s:f>
        <s:v>78.666666666666629</s:v>
      </s:c>
      <s:c r="AW236" s="4" t="s">
        <s:v>26</s:v>
      </s:c>
      <s:c r="AX236" s="4">
        <s:v>234</s:v>
      </s:c>
      <s:c r="AY236" s="9">
        <s:f>AY235+1/3</s:f>
        <s:v>78.666666666666629</s:v>
      </s:c>
    </s:row>
    <s:row r="237">
      <s:c r="M237" s="4" t="s">
        <s:v>26</s:v>
      </s:c>
      <s:c r="N237" s="4">
        <s:v>235</s:v>
      </s:c>
      <s:c r="O237" s="34">
        <s:v>27</s:v>
      </s:c>
      <s:c r="P237" s="39"/>
      <s:c r="R237" s="4" t="s">
        <s:v>26</s:v>
      </s:c>
      <s:c r="S237" s="4">
        <s:v>235</s:v>
      </s:c>
      <s:c r="T237" s="34">
        <s:v>27</s:v>
      </s:c>
      <s:c r="W237" s="4" t="s">
        <s:v>26</s:v>
      </s:c>
      <s:c r="X237" s="4">
        <s:v>235</s:v>
      </s:c>
      <s:c r="Y237" s="9">
        <s:f>Y236+1/3</s:f>
        <s:v>78.999999999999957</s:v>
      </s:c>
      <s:c r="AB237" s="4" t="s">
        <s:v>26</s:v>
      </s:c>
      <s:c r="AC237" s="4">
        <s:v>235</s:v>
      </s:c>
      <s:c r="AD237" s="9">
        <s:f>AD236+1/3</s:f>
        <s:v>78.999999999999957</s:v>
      </s:c>
      <s:c r="AG237" s="4" t="s">
        <s:v>26</s:v>
      </s:c>
      <s:c r="AH237" s="4">
        <s:v>235</s:v>
      </s:c>
      <s:c r="AI237" s="9">
        <s:f>AI236+1/3</s:f>
        <s:v>78.999999999999957</s:v>
      </s:c>
      <s:c r="AL237" s="4" t="s">
        <s:v>26</s:v>
      </s:c>
      <s:c r="AM237" s="4">
        <s:v>235</s:v>
      </s:c>
      <s:c r="AN237" s="9">
        <s:f>AN236+1/3</s:f>
        <s:v>78.999999999999957</s:v>
      </s:c>
      <s:c r="AQ237" s="4" t="s">
        <s:v>26</s:v>
      </s:c>
      <s:c r="AR237" s="4">
        <s:v>235</s:v>
      </s:c>
      <s:c r="AS237" s="9">
        <s:f>AS236+1/3</s:f>
        <s:v>78.999999999999957</s:v>
      </s:c>
      <s:c r="AW237" s="4" t="s">
        <s:v>26</s:v>
      </s:c>
      <s:c r="AX237" s="4">
        <s:v>235</s:v>
      </s:c>
      <s:c r="AY237" s="9">
        <s:f>AY236+1/3</s:f>
        <s:v>78.999999999999957</s:v>
      </s:c>
    </s:row>
    <s:row r="238">
      <s:c r="M238" s="4" t="s">
        <s:v>26</s:v>
      </s:c>
      <s:c r="N238" s="4">
        <s:v>236</s:v>
      </s:c>
      <s:c r="O238" s="34">
        <s:v>27</s:v>
      </s:c>
      <s:c r="P238" s="39"/>
      <s:c r="R238" s="4" t="s">
        <s:v>26</s:v>
      </s:c>
      <s:c r="S238" s="4">
        <s:v>236</s:v>
      </s:c>
      <s:c r="T238" s="34">
        <s:v>27</s:v>
      </s:c>
      <s:c r="W238" s="4" t="s">
        <s:v>26</s:v>
      </s:c>
      <s:c r="X238" s="4">
        <s:v>236</s:v>
      </s:c>
      <s:c r="Y238" s="9">
        <s:f>Y237+1/3</s:f>
        <s:v>79.333333333333286</s:v>
      </s:c>
      <s:c r="AB238" s="4" t="s">
        <s:v>26</s:v>
      </s:c>
      <s:c r="AC238" s="4">
        <s:v>236</s:v>
      </s:c>
      <s:c r="AD238" s="9">
        <s:f>AD237+1/3</s:f>
        <s:v>79.333333333333286</s:v>
      </s:c>
      <s:c r="AG238" s="4" t="s">
        <s:v>26</s:v>
      </s:c>
      <s:c r="AH238" s="4">
        <s:v>236</s:v>
      </s:c>
      <s:c r="AI238" s="9">
        <s:f>AI237+1/3</s:f>
        <s:v>79.333333333333286</s:v>
      </s:c>
      <s:c r="AL238" s="4" t="s">
        <s:v>26</s:v>
      </s:c>
      <s:c r="AM238" s="4">
        <s:v>236</s:v>
      </s:c>
      <s:c r="AN238" s="9">
        <s:f>AN237+1/3</s:f>
        <s:v>79.333333333333286</s:v>
      </s:c>
      <s:c r="AQ238" s="4" t="s">
        <s:v>26</s:v>
      </s:c>
      <s:c r="AR238" s="4">
        <s:v>236</s:v>
      </s:c>
      <s:c r="AS238" s="9">
        <s:f>AS237+1/3</s:f>
        <s:v>79.333333333333286</s:v>
      </s:c>
      <s:c r="AW238" s="4" t="s">
        <s:v>26</s:v>
      </s:c>
      <s:c r="AX238" s="4">
        <s:v>236</s:v>
      </s:c>
      <s:c r="AY238" s="9">
        <s:f>AY237+1/3</s:f>
        <s:v>79.333333333333286</s:v>
      </s:c>
    </s:row>
    <s:row r="239">
      <s:c r="M239" s="4" t="s">
        <s:v>26</s:v>
      </s:c>
      <s:c r="N239" s="4">
        <s:v>237</s:v>
      </s:c>
      <s:c r="O239" s="34">
        <s:v>27</s:v>
      </s:c>
      <s:c r="P239" s="39"/>
      <s:c r="R239" s="4" t="s">
        <s:v>26</s:v>
      </s:c>
      <s:c r="S239" s="4">
        <s:v>237</s:v>
      </s:c>
      <s:c r="T239" s="34">
        <s:v>27</s:v>
      </s:c>
      <s:c r="W239" s="4" t="s">
        <s:v>26</s:v>
      </s:c>
      <s:c r="X239" s="4">
        <s:v>237</s:v>
      </s:c>
      <s:c r="Y239" s="9">
        <s:f>Y238+1/3</s:f>
        <s:v>79.666666666666615</s:v>
      </s:c>
      <s:c r="AB239" s="4" t="s">
        <s:v>26</s:v>
      </s:c>
      <s:c r="AC239" s="4">
        <s:v>237</s:v>
      </s:c>
      <s:c r="AD239" s="9">
        <s:f>AD238+1/3</s:f>
        <s:v>79.666666666666615</s:v>
      </s:c>
      <s:c r="AG239" s="4" t="s">
        <s:v>26</s:v>
      </s:c>
      <s:c r="AH239" s="4">
        <s:v>237</s:v>
      </s:c>
      <s:c r="AI239" s="9">
        <s:f>AI238+1/3</s:f>
        <s:v>79.666666666666615</s:v>
      </s:c>
      <s:c r="AL239" s="4" t="s">
        <s:v>26</s:v>
      </s:c>
      <s:c r="AM239" s="4">
        <s:v>237</s:v>
      </s:c>
      <s:c r="AN239" s="9">
        <s:f>AN238+1/3</s:f>
        <s:v>79.666666666666615</s:v>
      </s:c>
      <s:c r="AQ239" s="4" t="s">
        <s:v>26</s:v>
      </s:c>
      <s:c r="AR239" s="4">
        <s:v>237</s:v>
      </s:c>
      <s:c r="AS239" s="9">
        <s:f>AS238+1/3</s:f>
        <s:v>79.666666666666615</s:v>
      </s:c>
      <s:c r="AW239" s="4" t="s">
        <s:v>26</s:v>
      </s:c>
      <s:c r="AX239" s="4">
        <s:v>237</s:v>
      </s:c>
      <s:c r="AY239" s="9">
        <s:f>AY238+1/3</s:f>
        <s:v>79.666666666666615</s:v>
      </s:c>
    </s:row>
    <s:row r="240">
      <s:c r="M240" s="4" t="s">
        <s:v>26</s:v>
      </s:c>
      <s:c r="N240" s="4">
        <s:v>238</s:v>
      </s:c>
      <s:c r="O240" s="34">
        <s:v>27</s:v>
      </s:c>
      <s:c r="P240" s="39"/>
      <s:c r="R240" s="4" t="s">
        <s:v>26</s:v>
      </s:c>
      <s:c r="S240" s="4">
        <s:v>238</s:v>
      </s:c>
      <s:c r="T240" s="34">
        <s:v>27</s:v>
      </s:c>
      <s:c r="W240" s="4" t="s">
        <s:v>26</s:v>
      </s:c>
      <s:c r="X240" s="4">
        <s:v>238</s:v>
      </s:c>
      <s:c r="Y240" s="9">
        <s:f>Y239+1/3</s:f>
        <s:v>79.999999999999943</s:v>
      </s:c>
      <s:c r="AB240" s="4" t="s">
        <s:v>26</s:v>
      </s:c>
      <s:c r="AC240" s="4">
        <s:v>238</s:v>
      </s:c>
      <s:c r="AD240" s="9">
        <s:f>AD239+1/3</s:f>
        <s:v>79.999999999999943</s:v>
      </s:c>
      <s:c r="AG240" s="4" t="s">
        <s:v>26</s:v>
      </s:c>
      <s:c r="AH240" s="4">
        <s:v>238</s:v>
      </s:c>
      <s:c r="AI240" s="9">
        <s:f>AI239+1/3</s:f>
        <s:v>79.999999999999943</s:v>
      </s:c>
      <s:c r="AL240" s="4" t="s">
        <s:v>26</s:v>
      </s:c>
      <s:c r="AM240" s="4">
        <s:v>238</s:v>
      </s:c>
      <s:c r="AN240" s="9">
        <s:f>AN239+1/3</s:f>
        <s:v>79.999999999999943</s:v>
      </s:c>
      <s:c r="AQ240" s="4" t="s">
        <s:v>26</s:v>
      </s:c>
      <s:c r="AR240" s="4">
        <s:v>238</s:v>
      </s:c>
      <s:c r="AS240" s="9">
        <s:f>AS239+1/3</s:f>
        <s:v>79.999999999999943</s:v>
      </s:c>
      <s:c r="AW240" s="4" t="s">
        <s:v>26</s:v>
      </s:c>
      <s:c r="AX240" s="4">
        <s:v>238</s:v>
      </s:c>
      <s:c r="AY240" s="9">
        <s:f>AY239+1/3</s:f>
        <s:v>79.999999999999943</s:v>
      </s:c>
    </s:row>
    <s:row r="241">
      <s:c r="M241" s="4" t="s">
        <s:v>26</s:v>
      </s:c>
      <s:c r="N241" s="4">
        <s:v>239</s:v>
      </s:c>
      <s:c r="O241" s="34">
        <s:v>27</s:v>
      </s:c>
      <s:c r="P241" s="39"/>
      <s:c r="R241" s="4" t="s">
        <s:v>26</s:v>
      </s:c>
      <s:c r="S241" s="4">
        <s:v>239</s:v>
      </s:c>
      <s:c r="T241" s="34">
        <s:v>27</s:v>
      </s:c>
      <s:c r="W241" s="4" t="s">
        <s:v>26</s:v>
      </s:c>
      <s:c r="X241" s="4">
        <s:v>239</s:v>
      </s:c>
      <s:c r="Y241" s="9">
        <s:f>Y240+1/3</s:f>
        <s:v>80.333333333333272</s:v>
      </s:c>
      <s:c r="AB241" s="4" t="s">
        <s:v>26</s:v>
      </s:c>
      <s:c r="AC241" s="4">
        <s:v>239</s:v>
      </s:c>
      <s:c r="AD241" s="9">
        <s:f>AD240+1/3</s:f>
        <s:v>80.333333333333272</s:v>
      </s:c>
      <s:c r="AG241" s="4" t="s">
        <s:v>26</s:v>
      </s:c>
      <s:c r="AH241" s="4">
        <s:v>239</s:v>
      </s:c>
      <s:c r="AI241" s="9">
        <s:f>AI240+1/3</s:f>
        <s:v>80.333333333333272</s:v>
      </s:c>
      <s:c r="AL241" s="4" t="s">
        <s:v>26</s:v>
      </s:c>
      <s:c r="AM241" s="4">
        <s:v>239</s:v>
      </s:c>
      <s:c r="AN241" s="9">
        <s:f>AN240+1/3</s:f>
        <s:v>80.333333333333272</s:v>
      </s:c>
      <s:c r="AQ241" s="4" t="s">
        <s:v>26</s:v>
      </s:c>
      <s:c r="AR241" s="4">
        <s:v>239</s:v>
      </s:c>
      <s:c r="AS241" s="9">
        <s:f>AS240+1/3</s:f>
        <s:v>80.333333333333272</s:v>
      </s:c>
      <s:c r="AW241" s="4" t="s">
        <s:v>26</s:v>
      </s:c>
      <s:c r="AX241" s="4">
        <s:v>239</s:v>
      </s:c>
      <s:c r="AY241" s="9">
        <s:f>AY240+1/3</s:f>
        <s:v>80.333333333333272</s:v>
      </s:c>
    </s:row>
    <s:row r="242">
      <s:c r="M242" s="4" t="s">
        <s:v>26</s:v>
      </s:c>
      <s:c r="N242" s="4">
        <s:v>240</s:v>
      </s:c>
      <s:c r="O242" s="34">
        <s:v>27</s:v>
      </s:c>
      <s:c r="P242" s="39"/>
      <s:c r="R242" s="4" t="s">
        <s:v>26</s:v>
      </s:c>
      <s:c r="S242" s="4">
        <s:v>240</s:v>
      </s:c>
      <s:c r="T242" s="34">
        <s:v>27</s:v>
      </s:c>
      <s:c r="W242" s="4" t="s">
        <s:v>26</s:v>
      </s:c>
      <s:c r="X242" s="4">
        <s:v>240</s:v>
      </s:c>
      <s:c r="Y242" s="9">
        <s:f>Y241+1/3</s:f>
        <s:v>80.6666666666666</s:v>
      </s:c>
      <s:c r="AB242" s="4" t="s">
        <s:v>26</s:v>
      </s:c>
      <s:c r="AC242" s="4">
        <s:v>240</s:v>
      </s:c>
      <s:c r="AD242" s="9">
        <s:f>AD241+1/3</s:f>
        <s:v>80.6666666666666</s:v>
      </s:c>
      <s:c r="AG242" s="4" t="s">
        <s:v>26</s:v>
      </s:c>
      <s:c r="AH242" s="4">
        <s:v>240</s:v>
      </s:c>
      <s:c r="AI242" s="9">
        <s:f>AI241+1/3</s:f>
        <s:v>80.6666666666666</s:v>
      </s:c>
      <s:c r="AL242" s="4" t="s">
        <s:v>26</s:v>
      </s:c>
      <s:c r="AM242" s="4">
        <s:v>240</s:v>
      </s:c>
      <s:c r="AN242" s="9">
        <s:f>AN241+1/3</s:f>
        <s:v>80.6666666666666</s:v>
      </s:c>
      <s:c r="AQ242" s="4" t="s">
        <s:v>26</s:v>
      </s:c>
      <s:c r="AR242" s="4">
        <s:v>240</s:v>
      </s:c>
      <s:c r="AS242" s="9">
        <s:f>AS241+1/3</s:f>
        <s:v>80.6666666666666</s:v>
      </s:c>
      <s:c r="AW242" s="4" t="s">
        <s:v>26</s:v>
      </s:c>
      <s:c r="AX242" s="4">
        <s:v>240</s:v>
      </s:c>
      <s:c r="AY242" s="9">
        <s:f>AY241+1/3</s:f>
        <s:v>80.6666666666666</s:v>
      </s:c>
    </s:row>
    <s:row r="243">
      <s:c r="M243" s="4" t="s">
        <s:v>26</s:v>
      </s:c>
      <s:c r="N243" s="4">
        <s:v>241</s:v>
      </s:c>
      <s:c r="O243" s="34">
        <s:v>27</s:v>
      </s:c>
      <s:c r="P243" s="39"/>
      <s:c r="R243" s="4" t="s">
        <s:v>26</s:v>
      </s:c>
      <s:c r="S243" s="4">
        <s:v>241</s:v>
      </s:c>
      <s:c r="T243" s="34">
        <s:v>27</s:v>
      </s:c>
      <s:c r="W243" s="4" t="s">
        <s:v>26</s:v>
      </s:c>
      <s:c r="X243" s="4">
        <s:v>241</s:v>
      </s:c>
      <s:c r="Y243" s="9">
        <s:f>Y242+1/3</s:f>
        <s:v>80.999999999999929</s:v>
      </s:c>
      <s:c r="AB243" s="4" t="s">
        <s:v>26</s:v>
      </s:c>
      <s:c r="AC243" s="4">
        <s:v>241</s:v>
      </s:c>
      <s:c r="AD243" s="9">
        <s:f>AD242+1/3</s:f>
        <s:v>80.999999999999929</s:v>
      </s:c>
      <s:c r="AG243" s="4" t="s">
        <s:v>26</s:v>
      </s:c>
      <s:c r="AH243" s="4">
        <s:v>241</s:v>
      </s:c>
      <s:c r="AI243" s="9">
        <s:f>AI242+1/3</s:f>
        <s:v>80.999999999999929</s:v>
      </s:c>
      <s:c r="AL243" s="4" t="s">
        <s:v>26</s:v>
      </s:c>
      <s:c r="AM243" s="4">
        <s:v>241</s:v>
      </s:c>
      <s:c r="AN243" s="9">
        <s:f>AN242+1/3</s:f>
        <s:v>80.999999999999929</s:v>
      </s:c>
      <s:c r="AQ243" s="4" t="s">
        <s:v>26</s:v>
      </s:c>
      <s:c r="AR243" s="4">
        <s:v>241</s:v>
      </s:c>
      <s:c r="AS243" s="9">
        <s:f>AS242+1/3</s:f>
        <s:v>80.999999999999929</s:v>
      </s:c>
      <s:c r="AW243" s="4" t="s">
        <s:v>26</s:v>
      </s:c>
      <s:c r="AX243" s="4">
        <s:v>241</s:v>
      </s:c>
      <s:c r="AY243" s="9">
        <s:f>AY242+1/3</s:f>
        <s:v>80.999999999999929</s:v>
      </s:c>
    </s:row>
    <s:row r="244">
      <s:c r="M244" s="4" t="s">
        <s:v>26</s:v>
      </s:c>
      <s:c r="N244" s="4">
        <s:v>242</s:v>
      </s:c>
      <s:c r="O244" s="34">
        <s:v>27</s:v>
      </s:c>
      <s:c r="P244" s="39"/>
      <s:c r="R244" s="4" t="s">
        <s:v>26</s:v>
      </s:c>
      <s:c r="S244" s="4">
        <s:v>242</s:v>
      </s:c>
      <s:c r="T244" s="34">
        <s:v>27</s:v>
      </s:c>
      <s:c r="W244" s="4" t="s">
        <s:v>26</s:v>
      </s:c>
      <s:c r="X244" s="4">
        <s:v>242</s:v>
      </s:c>
      <s:c r="Y244" s="9">
        <s:f>Y243+1/3</s:f>
        <s:v>81.333333333333258</s:v>
      </s:c>
      <s:c r="AB244" s="4" t="s">
        <s:v>26</s:v>
      </s:c>
      <s:c r="AC244" s="4">
        <s:v>242</s:v>
      </s:c>
      <s:c r="AD244" s="9">
        <s:f>AD243+1/3</s:f>
        <s:v>81.333333333333258</s:v>
      </s:c>
      <s:c r="AG244" s="4" t="s">
        <s:v>26</s:v>
      </s:c>
      <s:c r="AH244" s="4">
        <s:v>242</s:v>
      </s:c>
      <s:c r="AI244" s="9">
        <s:f>AI243+1/3</s:f>
        <s:v>81.333333333333258</s:v>
      </s:c>
      <s:c r="AL244" s="4" t="s">
        <s:v>26</s:v>
      </s:c>
      <s:c r="AM244" s="4">
        <s:v>242</s:v>
      </s:c>
      <s:c r="AN244" s="9">
        <s:f>AN243+1/3</s:f>
        <s:v>81.333333333333258</s:v>
      </s:c>
      <s:c r="AQ244" s="4" t="s">
        <s:v>26</s:v>
      </s:c>
      <s:c r="AR244" s="4">
        <s:v>242</s:v>
      </s:c>
      <s:c r="AS244" s="9">
        <s:f>AS243+1/3</s:f>
        <s:v>81.333333333333258</s:v>
      </s:c>
      <s:c r="AW244" s="4" t="s">
        <s:v>26</s:v>
      </s:c>
      <s:c r="AX244" s="4">
        <s:v>242</s:v>
      </s:c>
      <s:c r="AY244" s="9">
        <s:f>AY243+1/3</s:f>
        <s:v>81.333333333333258</s:v>
      </s:c>
    </s:row>
    <s:row r="245">
      <s:c r="M245" s="4" t="s">
        <s:v>26</s:v>
      </s:c>
      <s:c r="N245" s="4">
        <s:v>243</s:v>
      </s:c>
      <s:c r="O245" s="34">
        <s:v>27</s:v>
      </s:c>
      <s:c r="P245" s="39"/>
      <s:c r="R245" s="4" t="s">
        <s:v>26</s:v>
      </s:c>
      <s:c r="S245" s="4">
        <s:v>243</s:v>
      </s:c>
      <s:c r="T245" s="34">
        <s:v>27</s:v>
      </s:c>
      <s:c r="W245" s="4" t="s">
        <s:v>26</s:v>
      </s:c>
      <s:c r="X245" s="4">
        <s:v>243</s:v>
      </s:c>
      <s:c r="Y245" s="9">
        <s:f>Y244+1/3</s:f>
        <s:v>81.666666666666586</s:v>
      </s:c>
      <s:c r="AB245" s="4" t="s">
        <s:v>26</s:v>
      </s:c>
      <s:c r="AC245" s="4">
        <s:v>243</s:v>
      </s:c>
      <s:c r="AD245" s="9">
        <s:f>AD244+1/3</s:f>
        <s:v>81.666666666666586</s:v>
      </s:c>
      <s:c r="AG245" s="4" t="s">
        <s:v>26</s:v>
      </s:c>
      <s:c r="AH245" s="4">
        <s:v>243</s:v>
      </s:c>
      <s:c r="AI245" s="9">
        <s:f>AI244+1/3</s:f>
        <s:v>81.666666666666586</s:v>
      </s:c>
      <s:c r="AL245" s="4" t="s">
        <s:v>26</s:v>
      </s:c>
      <s:c r="AM245" s="4">
        <s:v>243</s:v>
      </s:c>
      <s:c r="AN245" s="9">
        <s:f>AN244+1/3</s:f>
        <s:v>81.666666666666586</s:v>
      </s:c>
      <s:c r="AQ245" s="4" t="s">
        <s:v>26</s:v>
      </s:c>
      <s:c r="AR245" s="4">
        <s:v>243</s:v>
      </s:c>
      <s:c r="AS245" s="9">
        <s:f>AS244+1/3</s:f>
        <s:v>81.666666666666586</s:v>
      </s:c>
      <s:c r="AW245" s="4" t="s">
        <s:v>26</s:v>
      </s:c>
      <s:c r="AX245" s="4">
        <s:v>243</s:v>
      </s:c>
      <s:c r="AY245" s="9">
        <s:f>AY244+1/3</s:f>
        <s:v>81.666666666666586</s:v>
      </s:c>
    </s:row>
  </s:sheetData>
  <s:mergeCells count="3">
    <s:mergeCell ref="C1:E1"/>
    <s:mergeCell ref="H1:K1"/>
    <s:mergeCell ref="M1:P1"/>
  </s:mergeCells>
  <s:pageMargins left="0.7" right="0.7" top="0.75" bottom="0.75" header="0.3" footer="0.3"/>
  <s:pageSetup paperSize="9" orientation="portrait" r:id="rId1"/>
</s:worksheet>
</file>

<file path=xl/worksheets/sheet3.xml><?xml version="1.0" encoding="utf-8"?>
<s:worksheet xmlns:xr="http://schemas.microsoft.com/office/spreadsheetml/2014/revision"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mc:Ignorable="x14ac xr xr2 xr3" xr:uid="{576DFAD6-6047-4F47-9544-098B7B05CE5E}">
  <s:dimension ref="B2:L41"/>
  <s:sheetViews>
    <s:sheetView tabSelected="0" workbookViewId="0">
      <s:selection activeCell="M11" sqref="M11"/>
    </s:sheetView>
  </s:sheetViews>
  <s:sheetFormatPr x14ac:dyDescent="0.3" defaultColWidth="10" defaultRowHeight="14.4"/>
  <s:cols>
    <s:col min="2" max="2" width="48.332" customWidth="1"/>
    <s:col min="3" max="3" width="25.441" customWidth="1"/>
    <s:col min="7" max="7" width="9.555" customWidth="1"/>
    <s:col min="10" max="10" width="11.664" customWidth="1"/>
    <s:col min="11" max="12" width="11.332" customWidth="1"/>
    <s:col min="15" max="16" width="28.441" customWidth="1"/>
  </s:cols>
  <s:sheetData>
    <s:row x14ac:dyDescent="0.35" r="2" spans="2:12" ht="15" thickBot="1"/>
    <s:row x14ac:dyDescent="0.35" r="3" spans="2:12" ht="29.4" thickBot="1">
      <s:c r="B3" s="53" t="s">
        <s:v>83</s:v>
      </s:c>
      <s:c r="C3" s="49" t="s">
        <s:v>86</s:v>
      </s:c>
      <s:c r="D3" s="47" t="s">
        <s:v>85</s:v>
      </s:c>
      <s:c r="E3" s="47" t="str">
        <s:f>Трудозатраты!I3</s:f>
        <s:v>PM</s:v>
      </s:c>
      <s:c r="F3" s="47" t="str">
        <s:f>Трудозатраты!J3</s:f>
        <s:v>DS Senior</s:v>
      </s:c>
      <s:c r="G3" s="47" t="str">
        <s:f>Трудозатраты!K3</s:f>
        <s:v>DS middle</s:v>
      </s:c>
      <s:c r="H3" s="47" t="str">
        <s:f>Трудозатраты!L3</s:f>
        <s:v>Arch</s:v>
      </s:c>
      <s:c r="I3" s="47" t="str">
        <s:f>Трудозатраты!M3</s:f>
        <s:v>BI</s:v>
      </s:c>
      <s:c r="J3" s="47" t="str">
        <s:f>Трудозатраты!N3</s:f>
        <s:v>Data Engineer</s:v>
      </s:c>
      <s:c r="K3" s="47" t="str">
        <s:f>Трудозатраты!O3</s:f>
        <s:v>Ops (Dev/ML)</s:v>
      </s:c>
      <s:c r="L3" s="48" t="str">
        <s:f>Трудозатраты!P3</s:f>
        <s:v>BusinAnalust</s:v>
      </s:c>
    </s:row>
    <s:row x14ac:dyDescent="0.3" r="4" spans="2:12">
      <s:c r="B4" s="54" t="s">
        <s:v>82</s:v>
      </s:c>
      <s:c r="C4" s="50">
        <s:f>D4/$D$11</s:f>
        <s:v>0.2657831500764582</s:v>
      </s:c>
      <s:c r="D4" s="45">
        <s:f>SUM(E4:L4)</s:f>
        <s:v>54.75</s:v>
      </s:c>
      <s:c r="E4" s="45">
        <s:f>SUM(Трудозатраты!I12:I16)</s:f>
        <s:v>3</s:v>
      </s:c>
      <s:c r="F4" s="45">
        <s:f>SUM(Трудозатраты!J12:J16)</s:f>
        <s:v>9.75</s:v>
      </s:c>
      <s:c r="G4" s="45">
        <s:f>SUM(Трудозатраты!K12:K16)</s:f>
        <s:v>9</s:v>
      </s:c>
      <s:c r="H4" s="45">
        <s:f>SUM(Трудозатраты!L12:L16)</s:f>
        <s:v>6.75</s:v>
      </s:c>
      <s:c r="I4" s="45">
        <s:f>SUM(Трудозатраты!M12:M16)</s:f>
        <s:v>5.5</s:v>
      </s:c>
      <s:c r="J4" s="45">
        <s:f>SUM(Трудозатраты!N12:N16)</s:f>
        <s:v>7.5</s:v>
      </s:c>
      <s:c r="K4" s="45">
        <s:f>SUM(Трудозатраты!O12:O16)</s:f>
        <s:v>13.25</s:v>
      </s:c>
      <s:c r="L4" s="46">
        <s:f>SUM(Трудозатраты!P12:P16)</s:f>
        <s:v>0</s:v>
      </s:c>
    </s:row>
    <s:row x14ac:dyDescent="0.3" r="5" spans="2:12">
      <s:c r="B5" s="55" t="s">
        <s:v>61</s:v>
      </s:c>
      <s:c r="C5" s="51">
        <s:f validation_="true">D5/$D$11</s:f>
        <s:v>0.10679870870652201</s:v>
      </s:c>
      <s:c r="D5" s="4">
        <s:f validation_="true">SUM(E5:L5)</s:f>
        <s:v>22</s:v>
      </s:c>
      <s:c r="E5" s="4">
        <s:f>SUM(Трудозатраты!I18)</s:f>
        <s:v>3</s:v>
      </s:c>
      <s:c r="F5" s="4">
        <s:f>SUM(Трудозатраты!J18)</s:f>
        <s:v>5</s:v>
      </s:c>
      <s:c r="G5" s="4">
        <s:f>SUM(Трудозатраты!K18)</s:f>
        <s:v>5</s:v>
      </s:c>
      <s:c r="H5" s="4">
        <s:f>SUM(Трудозатраты!L18)</s:f>
        <s:v>3</s:v>
      </s:c>
      <s:c r="I5" s="4">
        <s:f>SUM(Трудозатраты!M18)</s:f>
        <s:v>1</s:v>
      </s:c>
      <s:c r="J5" s="4">
        <s:f>SUM(Трудозатраты!N18)</s:f>
        <s:v>0</s:v>
      </s:c>
      <s:c r="K5" s="4">
        <s:f>SUM(Трудозатраты!O18)</s:f>
        <s:v>0</s:v>
      </s:c>
      <s:c r="L5" s="42">
        <s:f>SUM(Трудозатраты!P18)</s:f>
        <s:v>5</s:v>
      </s:c>
    </s:row>
    <s:row x14ac:dyDescent="0.3" r="6" spans="2:12">
      <s:c r="B6" s="55" t="s">
        <s:v>54</s:v>
      </s:c>
      <s:c r="C6" s="51">
        <s:f validation_="true">D6/$D$11</s:f>
        <s:v>0.30219180077186342</s:v>
      </s:c>
      <s:c r="D6" s="4">
        <s:f validation_="true">SUM(E6:L6)</s:f>
        <s:v>62.25</s:v>
      </s:c>
      <s:c r="E6" s="4">
        <s:f>SUM(Трудозатраты!I20:I26)</s:f>
        <s:v>2.25</s:v>
      </s:c>
      <s:c r="F6" s="4">
        <s:f>SUM(Трудозатраты!J20:J26)</s:f>
        <s:v>19</s:v>
      </s:c>
      <s:c r="G6" s="4">
        <s:f>SUM(Трудозатраты!K20:K26)</s:f>
        <s:v>16</s:v>
      </s:c>
      <s:c r="H6" s="4">
        <s:f>SUM(Трудозатраты!L20:L26)</s:f>
        <s:v>6</s:v>
      </s:c>
      <s:c r="I6" s="4">
        <s:f>SUM(Трудозатраты!M20:M26)</s:f>
        <s:v>1</s:v>
      </s:c>
      <s:c r="J6" s="4">
        <s:f>SUM(Трудозатраты!N20:N26)</s:f>
        <s:v>15</s:v>
      </s:c>
      <s:c r="K6" s="4">
        <s:f>SUM(Трудозатраты!O20:O26)</s:f>
        <s:v>1</s:v>
      </s:c>
      <s:c r="L6" s="42">
        <s:f>SUM(Трудозатраты!P20:P26)</s:f>
        <s:v>2</s:v>
      </s:c>
    </s:row>
    <s:row x14ac:dyDescent="0.3" r="7" spans="2:12">
      <s:c r="B7" s="55" t="s">
        <s:v>17</s:v>
      </s:c>
      <s:c r="C7" s="51">
        <s:f validation_="true">D7/$D$11</s:f>
        <s:v>0.13107114250345883</s:v>
      </s:c>
      <s:c r="D7" s="4">
        <s:f validation_="true">SUM(E7:L7)</s:f>
        <s:v>27</s:v>
      </s:c>
      <s:c r="E7" s="4">
        <s:f>SUM(Трудозатраты!I28:I30)</s:f>
        <s:v>1</s:v>
      </s:c>
      <s:c r="F7" s="4">
        <s:f>SUM(Трудозатраты!J28:J30)</s:f>
        <s:v>8</s:v>
      </s:c>
      <s:c r="G7" s="4">
        <s:f>SUM(Трудозатраты!K28:K30)</s:f>
        <s:v>5</s:v>
      </s:c>
      <s:c r="H7" s="4">
        <s:f>SUM(Трудозатраты!L28:L30)</s:f>
        <s:v>1</s:v>
      </s:c>
      <s:c r="I7" s="4">
        <s:f>SUM(Трудозатраты!M28:M30)</s:f>
        <s:v>3</s:v>
      </s:c>
      <s:c r="J7" s="4">
        <s:f>SUM(Трудозатраты!N28:N30)</s:f>
        <s:v>2</s:v>
      </s:c>
      <s:c r="K7" s="4">
        <s:f>SUM(Трудозатраты!O28:O30)</s:f>
        <s:v>7</s:v>
      </s:c>
      <s:c r="L7" s="42">
        <s:f>SUM(Трудозатраты!P28:P30)</s:f>
        <s:v>0</s:v>
      </s:c>
    </s:row>
    <s:row x14ac:dyDescent="0.3" r="8" spans="2:12">
      <s:c r="B8" s="55" t="s">
        <s:v>18</s:v>
      </s:c>
      <s:c r="C8" s="51">
        <s:f validation_="true">D8/$D$11</s:f>
        <s:v>9.0536178062574357E-2</s:v>
      </s:c>
      <s:c r="D8" s="4">
        <s:f validation_="true">SUM(E8:L8)</s:f>
        <s:v>18.650000000000002</s:v>
      </s:c>
      <s:c r="E8" s="4">
        <s:f>SUM(Трудозатраты!I32:I34)</s:f>
        <s:v>3.1</s:v>
      </s:c>
      <s:c r="F8" s="4">
        <s:f>SUM(Трудозатраты!J32:J34)</s:f>
        <s:v>3.25</s:v>
      </s:c>
      <s:c r="G8" s="4">
        <s:f>SUM(Трудозатраты!K32:K34)</s:f>
        <s:v>4</s:v>
      </s:c>
      <s:c r="H8" s="4">
        <s:f>SUM(Трудозатраты!L32:L34)</s:f>
        <s:v>3.1</s:v>
      </s:c>
      <s:c r="I8" s="4">
        <s:f>SUM(Трудозатраты!M32:M34)</s:f>
        <s:v>3.1</s:v>
      </s:c>
      <s:c r="J8" s="4">
        <s:f>SUM(Трудозатраты!N32:N34)</s:f>
        <s:v>0</s:v>
      </s:c>
      <s:c r="K8" s="4">
        <s:f>SUM(Трудозатраты!O32:O34)</s:f>
        <s:v>2.1</s:v>
      </s:c>
      <s:c r="L8" s="42">
        <s:f>SUM(Трудозатраты!P32:P34)</s:f>
        <s:v>0</s:v>
      </s:c>
    </s:row>
    <s:row x14ac:dyDescent="0.3" r="9" spans="2:12">
      <s:c r="B9" s="55" t="s">
        <s:v>19</s:v>
      </s:c>
      <s:c r="C9" s="51">
        <s:f validation_="true">D9/$D$11</s:f>
        <s:v>4.9758489283720488E-2</s:v>
      </s:c>
      <s:c r="D9" s="4">
        <s:f validation_="true">SUM(E9:L9)</s:f>
        <s:v>10.25</s:v>
      </s:c>
      <s:c r="E9" s="4">
        <s:f>SUM(Трудозатраты!I36:I38)</s:f>
        <s:v>2</s:v>
      </s:c>
      <s:c r="F9" s="4">
        <s:f>SUM(Трудозатраты!J36:J38)</s:f>
        <s:v>1.25</s:v>
      </s:c>
      <s:c r="G9" s="4">
        <s:f>SUM(Трудозатраты!K36:K38)</s:f>
        <s:v>3</s:v>
      </s:c>
      <s:c r="H9" s="4">
        <s:f>SUM(Трудозатраты!L36:L38)</s:f>
        <s:v>0.25</s:v>
      </s:c>
      <s:c r="I9" s="4">
        <s:f>SUM(Трудозатраты!M36:M38)</s:f>
        <s:v>0.25</s:v>
      </s:c>
      <s:c r="J9" s="4">
        <s:f>SUM(Трудозатраты!N36:N38)</s:f>
        <s:v>0.25</s:v>
      </s:c>
      <s:c r="K9" s="4">
        <s:f>SUM(Трудозатраты!O36:O38)</s:f>
        <s:v>1.75</s:v>
      </s:c>
      <s:c r="L9" s="42">
        <s:f>SUM(Трудозатраты!P36:P38)</s:f>
        <s:v>1.5</s:v>
      </s:c>
    </s:row>
    <s:row x14ac:dyDescent="0.3" r="10" spans="2:12">
      <s:c r="B10" s="55" t="s">
        <s:v>20</s:v>
      </s:c>
      <s:c r="C10" s="51">
        <s:f validation_="true">D10/$D$11</s:f>
        <s:v>5.3860530595402807E-2</s:v>
      </s:c>
      <s:c r="D10" s="4">
        <s:f validation_="true">SUM(E10:L10)</s:f>
        <s:v>11.095000000000001</s:v>
      </s:c>
      <s:c r="E10" s="4">
        <s:f>SUM(Трудозатраты!I40:I42)</s:f>
        <s:v>2.63</s:v>
      </s:c>
      <s:c r="F10" s="4">
        <s:f>SUM(Трудозатраты!J40:J42)</s:f>
        <s:v>2.7250000000000001</s:v>
      </s:c>
      <s:c r="G10" s="4">
        <s:f>SUM(Трудозатраты!K40:K42)</s:f>
        <s:v>1.5750000000000002</s:v>
      </s:c>
      <s:c r="H10" s="4">
        <s:f>SUM(Трудозатраты!L40:L42)</s:f>
        <s:v>0.63</s:v>
      </s:c>
      <s:c r="I10" s="4">
        <s:f>SUM(Трудозатраты!M40:M42)</s:f>
        <s:v>0.67999999999999994</s:v>
      </s:c>
      <s:c r="J10" s="4">
        <s:f>SUM(Трудозатраты!N40:N42)</s:f>
        <s:v>0.86250000000000004</s:v>
      </s:c>
      <s:c r="K10" s="4">
        <s:f>SUM(Трудозатраты!O40:O42)</s:f>
        <s:v>0.59250000000000003</s:v>
      </s:c>
      <s:c r="L10" s="42">
        <s:f>SUM(Трудозатраты!P40:P42)</s:f>
        <s:v>1.4</s:v>
      </s:c>
    </s:row>
    <s:row x14ac:dyDescent="0.35" r="11" spans="2:12" ht="15" thickBot="1">
      <s:c r="B11" s="56" t="s">
        <s:v>84</s:v>
      </s:c>
      <s:c r="C11" s="52">
        <s:f>D11/$D$11</s:f>
        <s:v>1</s:v>
      </s:c>
      <s:c r="D11" s="43">
        <s:f validation_="true">SUM(E11:L11)</s:f>
        <s:v>205.99499999999998</s:v>
      </s:c>
      <s:c r="E11" s="43">
        <s:f>Трудозатраты!I43</s:f>
        <s:v>16.98</s:v>
      </s:c>
      <s:c r="F11" s="43">
        <s:f>Трудозатраты!J43</s:f>
        <s:v>48.974999999999994</s:v>
      </s:c>
      <s:c r="G11" s="43">
        <s:f>Трудозатраты!K43</s:f>
        <s:v>43.575000000000003</s:v>
      </s:c>
      <s:c r="H11" s="43">
        <s:f>Трудозатраты!L43</s:f>
        <s:v>20.730000000000004</s:v>
      </s:c>
      <s:c r="I11" s="43">
        <s:f>Трудозатраты!M43</s:f>
        <s:v>14.530000000000001</s:v>
      </s:c>
      <s:c r="J11" s="43">
        <s:f>Трудозатраты!N43</s:f>
        <s:v>25.612499999999997</s:v>
      </s:c>
      <s:c r="K11" s="43">
        <s:f>Трудозатраты!O43</s:f>
        <s:v>25.692500000000003</s:v>
      </s:c>
      <s:c r="L11" s="44">
        <s:f>Трудозатраты!P43</s:f>
        <s:v>9.8999999999999986</s:v>
      </s:c>
    </s:row>
    <s:row x14ac:dyDescent="0.3" r="37" spans="2:3" ht="158.4">
      <s:c r="B37" s="5" t="s">
        <s:v>115</s:v>
      </s:c>
      <s:c r="C37" s="5" t="s">
        <s:v>125</s:v>
      </s:c>
    </s:row>
    <s:row x14ac:dyDescent="0.3" r="38" spans="2:3" ht="43.2">
      <s:c r="B38" s="5" t="s">
        <s:v>117</s:v>
      </s:c>
      <s:c r="C38" s="5" t="s">
        <s:v>119</s:v>
      </s:c>
    </s:row>
    <s:row x14ac:dyDescent="0.3" r="39" spans="2:3" ht="28.8">
      <s:c r="B39" s="5" t="s">
        <s:v>93</s:v>
      </s:c>
      <s:c r="C39" s="5"/>
    </s:row>
    <s:row x14ac:dyDescent="0.3" r="40" spans="2:3" ht="28.8">
      <s:c r="B40" s="5" t="s">
        <s:v>92</s:v>
      </s:c>
      <s:c r="C40" s="5"/>
    </s:row>
    <s:row x14ac:dyDescent="0.3" r="41" spans="2:3" ht="28.8">
      <s:c r="B41" s="5" t="s">
        <s:v>116</s:v>
      </s:c>
      <s:c r="C41" s="5"/>
    </s:row>
  </s:sheetData>
  <s:pageMargins left="0.7" right="0.7" top="0.75" bottom="0.75" header="0.3" footer="0.3"/>
  <s:drawing r:id="rId1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3</vt:i4>
      </vt:variant>
    </vt:vector>
  </ep:HeadingPairs>
  <ep:TitlesOfParts>
    <vt:vector size="3" baseType="lpstr">
      <vt:lpstr>Трудозатраты</vt:lpstr>
      <vt:lpstr>Настройки</vt:lpstr>
      <vt:lpstr>Аналитика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>Осипов Алексей Владимирович</dc:creator>
  <cp:lastModifiedBy>Осипов Алексей Владимирович</cp:lastModifiedBy>
  <dcterms:created xsi:type="dcterms:W3CDTF">2024-01-23T18:19:21Z</dcterms:created>
  <dcterms:modified xsi:type="dcterms:W3CDTF">2025-07-04T08:36:04Z</dcterms:modified>
</cp:coreProperties>
</file>