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externalLinks/externalLink5.xml" ContentType="application/vnd.openxmlformats-officedocument.spreadsheetml.externalLink+xml"/>
  <Override PartName="/customXml/itemProps3.xml" ContentType="application/vnd.openxmlformats-officedocument.customXmlProperties+xml"/>
  <Override PartName="/xl/externalLinks/externalLink4.xml" ContentType="application/vnd.openxmlformats-officedocument.spreadsheetml.externalLink+xml"/>
  <Override PartName="/customXml/itemProps2.xml" ContentType="application/vnd.openxmlformats-officedocument.customXmlProperties+xml"/>
  <Override PartName="/xl/externalLinks/externalLink3.xml" ContentType="application/vnd.openxmlformats-officedocument.spreadsheetml.externalLink+xml"/>
  <Override PartName="/customXml/itemProps1.xml" ContentType="application/vnd.openxmlformats-officedocument.customXmlProperties+xml"/>
  <Override PartName="/xl/externalLinks/externalLink2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s:workbook xmlns:xr="http://schemas.microsoft.com/office/spreadsheetml/2014/revision" xmlns:xr10="http://schemas.microsoft.com/office/spreadsheetml/2016/revision10" xmlns:xr2="http://schemas.microsoft.com/office/spreadsheetml/2015/revision2" xmlns:mc="http://schemas.openxmlformats.org/markup-compatibility/2006" xmlns:s="http://schemas.openxmlformats.org/spreadsheetml/2006/main" xmlns:r="http://schemas.openxmlformats.org/officeDocument/2006/relationships" xmlns:unk1="http://schemas.microsoft.com/office/spreadsheetml/2010/11/main" xmlns:xr6="http://schemas.microsoft.com/office/spreadsheetml/2016/revision6" mc:Ignorable="unk1 xr xr6 xr10 xr2">
  <s:fileVersion appName="xl" lastEdited="7" lowestEdited="7" rupBuild="20417"/>
  <s:workbookPr/>
  <s:bookViews>
    <s:workbookView xr2:uid="{00000000-000D-0000-FFFF-FFFF00000000}" xWindow="0" yWindow="0" windowWidth="23040" windowHeight="8196" tabRatio="917"/>
  </s:bookViews>
  <s:sheets>
    <s:sheet name="Ставки и расходы" sheetId="1" state="visible" r:id="rId1"/>
    <s:sheet name="Калькулятор бюджета по этапам" sheetId="2" state="visible" r:id="rId2"/>
    <s:sheet name="Опросник" sheetId="11" state="visible" r:id="rId3"/>
    <s:sheet name="Проектные ограничения" sheetId="5" state="visible" r:id="rId4"/>
    <s:sheet name="Калькулятор" sheetId="12" state="visible" r:id="rId5"/>
    <s:sheet name="План" sheetId="13" state="visible" r:id="rId6"/>
    <s:sheet name="Смета проекта" sheetId="9" state="visible" r:id="rId7"/>
    <s:sheet name="Планирование ресурсов" sheetId="3" state="visible" r:id="rId8"/>
    <s:sheet name="ОПУ" sheetId="4" state="visible" r:id="rId9"/>
    <s:sheet name="Калькулятор бюджета по ЦФО" sheetId="8" state="visible" r:id="rId10"/>
    <s:sheet name="Меппинг ЦФО на орг структуру" sheetId="10" state="visible" r:id="rId11"/>
    <s:sheet name="Classifications" sheetId="6" state="hidden" r:id="rId12"/>
    <s:sheet name="Подразделения (ЦК.ЦФО.МВЗ)" sheetId="7" state="hidden" r:id="rId13"/>
  </s:sheets>
  <s:externalReferences>
    <s:externalReference r:id="rId14"/>
    <s:externalReference r:id="rId15"/>
    <s:externalReference r:id="rId16"/>
    <s:externalReference r:id="rId17"/>
    <s:externalReference r:id="rId18"/>
    <s:externalReference r:id="rId19"/>
  </s:externalReferences>
  <s:definedNames>
    <s:definedName name="_DISC1" localSheetId="4">#REF!</s:definedName>
    <s:definedName name="_DISC1" localSheetId="2">#REF!</s:definedName>
    <s:definedName name="_DISC1" localSheetId="5">#REF!</s:definedName>
    <s:definedName name="_DISC1">#REF!</s:definedName>
    <s:definedName name="_LT">[1]OTHER!$A$1:$B$7</s:definedName>
    <s:definedName name="_SREDA">[1]OTHER!$E$1:$F$3</s:definedName>
    <s:definedName name="p_3p_c_c" localSheetId="4">OFFSET('[2]Калькулятор бюджета'!$J$82,1,0,COUNTA('[2]Калькулятор бюджета'!$B$82:$B$92)-1,1)</s:definedName>
    <s:definedName name="p_3p_c_c" localSheetId="9">OFFSET('Калькулятор бюджета по ЦФО'!$K$69,1,0,COUNTA('Калькулятор бюджета по ЦФО'!$B$69:$B$79)-1,1)</s:definedName>
    <s:definedName name="p_3p_c_c" localSheetId="10">OFFSET('[3]Калькулятор бюджета по этапам'!$K$75,1,0,COUNTA('[3]Калькулятор бюджета по этапам'!$B$75:$B$86)-1,1)</s:definedName>
    <s:definedName name="p_3p_c_c" localSheetId="2">OFFSET('[4]Калькулятор бюджета'!$J$72,1,0,COUNTA('[4]Калькулятор бюджета'!$B$72:$B$82)-1,1)</s:definedName>
    <s:definedName name="p_3p_c_c" localSheetId="5">OFFSET('[2]Калькулятор бюджета'!$J$82,1,0,COUNTA('[2]Калькулятор бюджета'!$B$82:$B$92)-1,1)</s:definedName>
    <s:definedName name="p_3p_c_c">OFFSET('Калькулятор бюджета по этапам'!$K$75,1,0,COUNTA('Калькулятор бюджета по этапам'!$B$75:$B$86)-1,1)</s:definedName>
    <s:definedName name="p_3p_c_eff" localSheetId="4">OFFSET('[2]Калькулятор бюджета'!$H$82,1,0,COUNTA('[2]Калькулятор бюджета'!$B$82:$B$92)-1,1)</s:definedName>
    <s:definedName name="p_3p_c_eff" localSheetId="9">OFFSET('Калькулятор бюджета по ЦФО'!$I$69,1,0,COUNTA('Калькулятор бюджета по ЦФО'!$B$69:$B$79)-1,1)</s:definedName>
    <s:definedName name="p_3p_c_eff" localSheetId="10">OFFSET('[3]Калькулятор бюджета по этапам'!$I$75,1,0,COUNTA('[3]Калькулятор бюджета по этапам'!$B$75:$B$86)-1,1)</s:definedName>
    <s:definedName name="p_3p_c_eff" localSheetId="2">OFFSET('[4]Калькулятор бюджета'!$H$72,1,0,COUNTA('[4]Калькулятор бюджета'!$B$72:$B$82)-1,1)</s:definedName>
    <s:definedName name="p_3p_c_eff" localSheetId="5">OFFSET('[2]Калькулятор бюджета'!$H$82,1,0,COUNTA('[2]Калькулятор бюджета'!$B$82:$B$92)-1,1)</s:definedName>
    <s:definedName name="p_3p_c_eff">OFFSET('Калькулятор бюджета по этапам'!$I$75,1,0,COUNTA('Калькулятор бюджета по этапам'!$B$75:$B$86)-1,1)</s:definedName>
    <s:definedName name="p_3p_c_ph" localSheetId="4">OFFSET('[2]Калькулятор бюджета'!$B$82,1,0,COUNTA('[2]Калькулятор бюджета'!$B$82:$B$92)-1,1)</s:definedName>
    <s:definedName name="p_3p_c_ph" localSheetId="9">OFFSET('Калькулятор бюджета по ЦФО'!$B$69,1,0,COUNTA('Калькулятор бюджета по ЦФО'!$B$69:$B$79)-1,1)</s:definedName>
    <s:definedName name="p_3p_c_ph" localSheetId="10">OFFSET('[3]Калькулятор бюджета по этапам'!$B$75,1,0,COUNTA('[3]Калькулятор бюджета по этапам'!$B$75:$B$86)-1,1)</s:definedName>
    <s:definedName name="p_3p_c_ph" localSheetId="2">OFFSET('[4]Калькулятор бюджета'!$B$72,1,0,COUNTA('[4]Калькулятор бюджета'!$B$72:$B$82)-1,1)</s:definedName>
    <s:definedName name="p_3p_c_ph" localSheetId="5">OFFSET('[2]Калькулятор бюджета'!$B$82,1,0,COUNTA('[2]Калькулятор бюджета'!$B$82:$B$92)-1,1)</s:definedName>
    <s:definedName name="p_3p_c_ph">OFFSET('Калькулятор бюджета по этапам'!$B$75,1,0,COUNTA('Калькулятор бюджета по этапам'!$B$75:$B$86)-1,1)</s:definedName>
    <s:definedName name="p_3p_c_r" localSheetId="4">OFFSET('[2]Калькулятор бюджета'!$S$82,1,0,COUNTA('[2]Калькулятор бюджета'!$B$82:$B$92)-1,1)</s:definedName>
    <s:definedName name="p_3p_c_r" localSheetId="9">OFFSET('Калькулятор бюджета по ЦФО'!$N$69,1,0,COUNTA('Калькулятор бюджета по ЦФО'!$B$69:$B$79)-1,1)</s:definedName>
    <s:definedName name="p_3p_c_r" localSheetId="10">OFFSET('[3]Калькулятор бюджета по этапам'!$N$75,1,0,COUNTA('[3]Калькулятор бюджета по этапам'!$B$75:$B$86)-1,1)</s:definedName>
    <s:definedName name="p_3p_c_r" localSheetId="2">OFFSET('[4]Калькулятор бюджета'!$M$72,1,0,COUNTA('[4]Калькулятор бюджета'!$B$72:$B$82)-1,1)</s:definedName>
    <s:definedName name="p_3p_c_r" localSheetId="5">OFFSET('[2]Калькулятор бюджета'!$S$82,1,0,COUNTA('[2]Калькулятор бюджета'!$B$82:$B$92)-1,1)</s:definedName>
    <s:definedName name="p_3p_c_r">OFFSET('Калькулятор бюджета по этапам'!$N$75,1,0,COUNTA('Калькулятор бюджета по этапам'!$B$75:$B$86)-1,1)</s:definedName>
    <s:definedName name="p_3p_o_c" localSheetId="4">OFFSET('[2]Калькулятор бюджета'!$G$119,1,0,COUNTA('[2]Калькулятор бюджета'!$B$119:$B$123)-1,1)</s:definedName>
    <s:definedName name="p_3p_o_c" localSheetId="9">OFFSET('Калькулятор бюджета по ЦФО'!$H$106,1,0,COUNTA('Калькулятор бюджета по ЦФО'!$B$106:$B$110)-1,1)</s:definedName>
    <s:definedName name="p_3p_o_c" localSheetId="10">OFFSET('[3]Калькулятор бюджета по этапам'!$H$115,1,0,COUNTA('[3]Калькулятор бюджета по этапам'!$B$115:$B$120)-1,1)</s:definedName>
    <s:definedName name="p_3p_o_c" localSheetId="2">OFFSET('[4]Калькулятор бюджета'!$G$109,1,0,COUNTA('[4]Калькулятор бюджета'!$B$109:$B$113)-1,1)</s:definedName>
    <s:definedName name="p_3p_o_c" localSheetId="5">OFFSET('[2]Калькулятор бюджета'!$G$119,1,0,COUNTA('[2]Калькулятор бюджета'!$B$119:$B$123)-1,1)</s:definedName>
    <s:definedName name="p_3p_o_c">OFFSET('Калькулятор бюджета по этапам'!$H$115,1,0,COUNTA('Калькулятор бюджета по этапам'!$B$115:$B$120)-1,1)</s:definedName>
    <s:definedName name="p_3p_o_ph" localSheetId="4">OFFSET('[2]Калькулятор бюджета'!$B$119,1,0,COUNTA('[2]Калькулятор бюджета'!$B$119:$B$123)-1,1)</s:definedName>
    <s:definedName name="p_3p_o_ph" localSheetId="9">OFFSET('Калькулятор бюджета по ЦФО'!$B$106,1,0,COUNTA('Калькулятор бюджета по ЦФО'!$B$106:$B$110)-1,1)</s:definedName>
    <s:definedName name="p_3p_o_ph" localSheetId="10">OFFSET('[3]Калькулятор бюджета по этапам'!$B$115,1,0,COUNTA('[3]Калькулятор бюджета по этапам'!$B$115:$B$120)-1,1)</s:definedName>
    <s:definedName name="p_3p_o_ph" localSheetId="2">OFFSET('[4]Калькулятор бюджета'!$B$109,1,0,COUNTA('[4]Калькулятор бюджета'!$B$109:$B$113)-1,1)</s:definedName>
    <s:definedName name="p_3p_o_ph" localSheetId="5">OFFSET('[2]Калькулятор бюджета'!$B$119,1,0,COUNTA('[2]Калькулятор бюджета'!$B$119:$B$123)-1,1)</s:definedName>
    <s:definedName name="p_3p_o_ph">OFFSET('Калькулятор бюджета по этапам'!$B$115,1,0,COUNTA('Калькулятор бюджета по этапам'!$B$115:$B$120)-1,1)</s:definedName>
    <s:definedName name="p_3p_o_r" localSheetId="4">OFFSET('[2]Калькулятор бюджета'!$I$119,1,0,COUNTA('[2]Калькулятор бюджета'!$B$119:$B$123)-1,1)</s:definedName>
    <s:definedName name="p_3p_o_r" localSheetId="9">OFFSET('Калькулятор бюджета по ЦФО'!$J$106,1,0,COUNTA('Калькулятор бюджета по ЦФО'!$B$106:$B$110)-1,1)</s:definedName>
    <s:definedName name="p_3p_o_r" localSheetId="10">OFFSET('[3]Калькулятор бюджета по этапам'!$J$115,1,0,COUNTA('[3]Калькулятор бюджета по этапам'!$B$115:$B$120)-1,1)</s:definedName>
    <s:definedName name="p_3p_o_r" localSheetId="2">OFFSET('[4]Калькулятор бюджета'!$I$109,1,0,COUNTA('[4]Калькулятор бюджета'!$B$109:$B$113)-1,1)</s:definedName>
    <s:definedName name="p_3p_o_r" localSheetId="5">OFFSET('[2]Калькулятор бюджета'!$I$119,1,0,COUNTA('[2]Калькулятор бюджета'!$B$119:$B$123)-1,1)</s:definedName>
    <s:definedName name="p_3p_o_r">OFFSET('Калькулятор бюджета по этапам'!$J$115,1,0,COUNTA('Калькулятор бюджета по этапам'!$B$115:$B$120)-1,1)</s:definedName>
    <s:definedName name="p_3p_t_c" localSheetId="4">OFFSET('[2]Калькулятор бюджета'!$F$147,1,0,COUNTA('[2]Калькулятор бюджета'!$B$147:$B$154)-1,1)</s:definedName>
    <s:definedName name="p_3p_t_c" localSheetId="9">OFFSET('Калькулятор бюджета по ЦФО'!$G$134,1,0,COUNTA('Калькулятор бюджета по ЦФО'!$B$134:$B$141)-1,1)</s:definedName>
    <s:definedName name="p_3p_t_c" localSheetId="10">OFFSET('[3]Калькулятор бюджета по этапам'!$G$146,1,0,COUNTA('[3]Калькулятор бюджета по этапам'!$B$146:$B$154)-1,1)</s:definedName>
    <s:definedName name="p_3p_t_c" localSheetId="2">OFFSET('[4]Калькулятор бюджета'!$F$137,1,0,COUNTA('[4]Калькулятор бюджета'!$B$137:$B$144)-1,1)</s:definedName>
    <s:definedName name="p_3p_t_c" localSheetId="5">OFFSET('[2]Калькулятор бюджета'!$F$147,1,0,COUNTA('[2]Калькулятор бюджета'!$B$147:$B$154)-1,1)</s:definedName>
    <s:definedName name="p_3p_t_c">OFFSET('Калькулятор бюджета по этапам'!$G$146,1,0,COUNTA('Калькулятор бюджета по этапам'!$B$146:$B$154)-1,1)</s:definedName>
    <s:definedName name="p_3p_t_ph" localSheetId="4">OFFSET('[2]Калькулятор бюджета'!$B$147,1,0,COUNTA('[2]Калькулятор бюджета'!$B$147:$B$154)-1,1)</s:definedName>
    <s:definedName name="p_3p_t_ph" localSheetId="9">OFFSET('Калькулятор бюджета по ЦФО'!$B$134,1,0,COUNTA('Калькулятор бюджета по ЦФО'!$B$134:$B$141)-1,1)</s:definedName>
    <s:definedName name="p_3p_t_ph" localSheetId="10">OFFSET('[3]Калькулятор бюджета по этапам'!$B$146,1,0,COUNTA('[3]Калькулятор бюджета по этапам'!$B$146:$B$154)-1,1)</s:definedName>
    <s:definedName name="p_3p_t_ph" localSheetId="2">OFFSET('[4]Калькулятор бюджета'!$B$137,1,0,COUNTA('[4]Калькулятор бюджета'!$B$137:$B$144)-1,1)</s:definedName>
    <s:definedName name="p_3p_t_ph" localSheetId="5">OFFSET('[2]Калькулятор бюджета'!$B$147,1,0,COUNTA('[2]Калькулятор бюджета'!$B$147:$B$154)-1,1)</s:definedName>
    <s:definedName name="p_3p_t_ph">OFFSET('Калькулятор бюджета по этапам'!$B$146,1,0,COUNTA('Калькулятор бюджета по этапам'!$B$146:$B$154)-1,1)</s:definedName>
    <s:definedName name="p_3p_t_r" localSheetId="4">OFFSET('[2]Калькулятор бюджета'!$H$147,1,0,COUNTA('[2]Калькулятор бюджета'!$B$147:$B$154)-1,1)</s:definedName>
    <s:definedName name="p_3p_t_r" localSheetId="9">OFFSET('Калькулятор бюджета по ЦФО'!$I$134,1,0,COUNTA('Калькулятор бюджета по ЦФО'!$B$134:$B$141)-1,1)</s:definedName>
    <s:definedName name="p_3p_t_r" localSheetId="10">OFFSET('[3]Калькулятор бюджета по этапам'!$I$146,1,0,COUNTA('[3]Калькулятор бюджета по этапам'!$B$146:$B$154)-1,1)</s:definedName>
    <s:definedName name="p_3p_t_r" localSheetId="2">OFFSET('[4]Калькулятор бюджета'!$H$137,1,0,COUNTA('[4]Калькулятор бюджета'!$B$137:$B$144)-1,1)</s:definedName>
    <s:definedName name="p_3p_t_r" localSheetId="5">OFFSET('[2]Калькулятор бюджета'!$H$147,1,0,COUNTA('[2]Калькулятор бюджета'!$B$147:$B$154)-1,1)</s:definedName>
    <s:definedName name="p_3p_t_r">OFFSET('Калькулятор бюджета по этапам'!$I$146,1,0,COUNTA('Калькулятор бюджета по этапам'!$B$146:$B$154)-1,1)</s:definedName>
    <s:definedName name="p_dt_c_c" localSheetId="4">OFFSET('[2]Калькулятор бюджета'!$J$40,1,0,COUNTA('[2]Калькулятор бюджета'!$B$40:$B$78)-1,1)</s:definedName>
    <s:definedName name="p_dt_c_c" localSheetId="9">OFFSET('Калькулятор бюджета по ЦФО'!$K$37,1,0,COUNTA('Калькулятор бюджета по ЦФО'!$B$37:$B$65)-1,1)</s:definedName>
    <s:definedName name="p_dt_c_c" localSheetId="10">OFFSET('[3]Калькулятор бюджета по этапам'!$K$40,1,0,COUNTA('[3]Калькулятор бюджета по этапам'!$B$40:$B$71)-1,1)</s:definedName>
    <s:definedName name="p_dt_c_c" localSheetId="2">OFFSET('[4]Калькулятор бюджета'!$J$40,1,0,COUNTA('[4]Калькулятор бюджета'!$B$40:$B$68)-1,1)</s:definedName>
    <s:definedName name="p_dt_c_c" localSheetId="5">OFFSET('[2]Калькулятор бюджета'!$J$40,1,0,COUNTA('[2]Калькулятор бюджета'!$B$40:$B$78)-1,1)</s:definedName>
    <s:definedName name="p_dt_c_c">OFFSET('Калькулятор бюджета по этапам'!$K$40,1,0,COUNTA('Калькулятор бюджета по этапам'!$B$40:$B$71)-1,1)</s:definedName>
    <s:definedName name="p_dt_c_cont" localSheetId="4">OFFSET('[2]Калькулятор бюджета'!$G$40,1,0,COUNTA('[2]Калькулятор бюджета'!$B$40:$B$78)-1,1)</s:definedName>
    <s:definedName name="p_dt_c_cont" localSheetId="9">OFFSET('Калькулятор бюджета по ЦФО'!$H$37,1,0,COUNTA('Калькулятор бюджета по ЦФО'!$B$37:$B$65)-1,1)</s:definedName>
    <s:definedName name="p_dt_c_cont" localSheetId="10">OFFSET('[3]Калькулятор бюджета по этапам'!$H$40,1,0,COUNTA('[3]Калькулятор бюджета по этапам'!$B$40:$B$71)-1,1)</s:definedName>
    <s:definedName name="p_dt_c_cont" localSheetId="2">OFFSET('[4]Калькулятор бюджета'!$G$40,1,0,COUNTA('[4]Калькулятор бюджета'!$B$40:$B$68)-1,1)</s:definedName>
    <s:definedName name="p_dt_c_cont" localSheetId="5">OFFSET('[2]Калькулятор бюджета'!$G$40,1,0,COUNTA('[2]Калькулятор бюджета'!$B$40:$B$78)-1,1)</s:definedName>
    <s:definedName name="p_dt_c_cont">OFFSET('Калькулятор бюджета по этапам'!$H$40,1,0,COUNTA('Калькулятор бюджета по этапам'!$B$40:$B$71)-1,1)</s:definedName>
    <s:definedName name="p_dt_c_e" localSheetId="4">OFFSET('[2]Калькулятор бюджета'!$E$40,1,0,COUNTA('[2]Калькулятор бюджета'!$B$40:$B$78)-1,1)</s:definedName>
    <s:definedName name="p_dt_c_e" localSheetId="9">OFFSET('Калькулятор бюджета по ЦФО'!$F$37,1,0,COUNTA('Калькулятор бюджета по ЦФО'!$B$37:$B$65)-1,1)</s:definedName>
    <s:definedName name="p_dt_c_e" localSheetId="10">OFFSET('[3]Калькулятор бюджета по этапам'!$F$40,1,0,COUNTA('[3]Калькулятор бюджета по этапам'!$B$40:$B$71)-1,1)</s:definedName>
    <s:definedName name="p_dt_c_e" localSheetId="2">OFFSET('[4]Калькулятор бюджета'!$E$40,1,0,COUNTA('[4]Калькулятор бюджета'!$B$40:$B$68)-1,1)</s:definedName>
    <s:definedName name="p_dt_c_e" localSheetId="5">OFFSET('[2]Калькулятор бюджета'!$E$40,1,0,COUNTA('[2]Калькулятор бюджета'!$B$40:$B$78)-1,1)</s:definedName>
    <s:definedName name="p_dt_c_e">OFFSET('Калькулятор бюджета по этапам'!$F$40,1,0,COUNTA('Калькулятор бюджета по этапам'!$B$40:$B$71)-1,1)</s:definedName>
    <s:definedName name="p_dt_c_eff" localSheetId="4">OFFSET('[2]Калькулятор бюджета'!$H$40,1,0,COUNTA('[2]Калькулятор бюджета'!$B$40:$B$78)-1,1)</s:definedName>
    <s:definedName name="p_dt_c_eff" localSheetId="9">OFFSET('Калькулятор бюджета по ЦФО'!$I$37,1,0,COUNTA('Калькулятор бюджета по ЦФО'!$B$37:$B$65)-1,1)</s:definedName>
    <s:definedName name="p_dt_c_eff" localSheetId="10">OFFSET('[3]Калькулятор бюджета по этапам'!$I$40,1,0,COUNTA('[3]Калькулятор бюджета по этапам'!$B$40:$B$71)-1,1)</s:definedName>
    <s:definedName name="p_dt_c_eff" localSheetId="2">OFFSET('[4]Калькулятор бюджета'!$H$40,1,0,COUNTA('[4]Калькулятор бюджета'!$B$40:$B$68)-1,1)</s:definedName>
    <s:definedName name="p_dt_c_eff" localSheetId="5">OFFSET('[2]Калькулятор бюджета'!$H$40,1,0,COUNTA('[2]Калькулятор бюджета'!$B$40:$B$78)-1,1)</s:definedName>
    <s:definedName name="p_dt_c_eff">OFFSET('Калькулятор бюджета по этапам'!$I$40,1,0,COUNTA('Калькулятор бюджета по этапам'!$B$40:$B$71)-1,1)</s:definedName>
    <s:definedName name="p_dt_c_person" localSheetId="4">OFFSET('[2]Калькулятор бюджета'!$D$40,1,0,COUNTA('[2]Калькулятор бюджета'!$B$40:$B$78)-1,1)</s:definedName>
    <s:definedName name="p_dt_c_person" localSheetId="9">OFFSET('Калькулятор бюджета по ЦФО'!$E$37,1,0,COUNTA('Калькулятор бюджета по ЦФО'!$B$37:$B$65)-1,1)</s:definedName>
    <s:definedName name="p_dt_c_person" localSheetId="10">OFFSET('[3]Калькулятор бюджета по этапам'!$E$40,1,0,COUNTA('[3]Калькулятор бюджета по этапам'!$B$40:$B$71)-1,1)</s:definedName>
    <s:definedName name="p_dt_c_person" localSheetId="2">OFFSET('[4]Калькулятор бюджета'!$D$40,1,0,COUNTA('[4]Калькулятор бюджета'!$B$40:$B$68)-1,1)</s:definedName>
    <s:definedName name="p_dt_c_person" localSheetId="5">OFFSET('[2]Калькулятор бюджета'!$D$40,1,0,COUNTA('[2]Калькулятор бюджета'!$B$40:$B$78)-1,1)</s:definedName>
    <s:definedName name="p_dt_c_person">OFFSET('Калькулятор бюджета по этапам'!$E$40,1,0,COUNTA('Калькулятор бюджета по этапам'!$B$40:$B$71)-1,1)</s:definedName>
    <s:definedName name="p_dt_c_ph" localSheetId="4">OFFSET('[2]Калькулятор бюджета'!$B$40,1,0,COUNTA('[2]Калькулятор бюджета'!$B$40:$B$78)-1,1)</s:definedName>
    <s:definedName name="p_dt_c_ph" localSheetId="9">OFFSET('Калькулятор бюджета по ЦФО'!$B$37,1,0,COUNTA('Калькулятор бюджета по ЦФО'!$B$37:$B$65)-1,1)</s:definedName>
    <s:definedName name="p_dt_c_ph" localSheetId="10">OFFSET('[3]Калькулятор бюджета по этапам'!$B$40,1,0,COUNTA('[3]Калькулятор бюджета по этапам'!$B$40:$B$71)-1,1)</s:definedName>
    <s:definedName name="p_dt_c_ph" localSheetId="2">OFFSET('[4]Калькулятор бюджета'!$B$40,1,0,COUNTA('[4]Калькулятор бюджета'!$B$40:$B$68)-1,1)</s:definedName>
    <s:definedName name="p_dt_c_ph" localSheetId="5">OFFSET('[2]Калькулятор бюджета'!$B$40,1,0,COUNTA('[2]Калькулятор бюджета'!$B$40:$B$78)-1,1)</s:definedName>
    <s:definedName name="p_dt_c_ph">OFFSET('Калькулятор бюджета по этапам'!$B$40,1,0,COUNTA('Калькулятор бюджета по этапам'!$B$40:$B$71)-1,1)</s:definedName>
    <s:definedName name="p_dt_c_r" localSheetId="4">OFFSET('[2]Калькулятор бюджета'!$M$40,1,0,COUNTA('[2]Калькулятор бюджета'!$B$40:$B$78)-1,1)</s:definedName>
    <s:definedName name="p_dt_c_r" localSheetId="9">OFFSET('Калькулятор бюджета по ЦФО'!$N$37,1,0,COUNTA('Калькулятор бюджета по ЦФО'!$B$37:$B$65)-1,1)</s:definedName>
    <s:definedName name="p_dt_c_r" localSheetId="10">OFFSET('[3]Калькулятор бюджета по этапам'!$N$40,1,0,COUNTA('[3]Калькулятор бюджета по этапам'!$B$40:$B$71)-1,1)</s:definedName>
    <s:definedName name="p_dt_c_r" localSheetId="2">OFFSET('[4]Калькулятор бюджета'!$M$40,1,0,COUNTA('[4]Калькулятор бюджета'!$B$40:$B$68)-1,1)</s:definedName>
    <s:definedName name="p_dt_c_r" localSheetId="5">OFFSET('[2]Калькулятор бюджета'!$M$40,1,0,COUNTA('[2]Калькулятор бюджета'!$B$40:$B$78)-1,1)</s:definedName>
    <s:definedName name="p_dt_c_r">OFFSET('Калькулятор бюджета по этапам'!$N$40,1,0,COUNTA('Калькулятор бюджета по этапам'!$B$40:$B$71)-1,1)</s:definedName>
    <s:definedName name="p_dt_o_c" localSheetId="4">OFFSET('[2]Калькулятор бюджета'!$G$110,1,0,COUNTA('[2]Калькулятор бюджета'!$B$110:$B$115)-1,1)</s:definedName>
    <s:definedName name="p_dt_o_c" localSheetId="9">OFFSET('Калькулятор бюджета по ЦФО'!$H$97,1,0,COUNTA('Калькулятор бюджета по ЦФО'!$B$97:$B$102)-1,1)</s:definedName>
    <s:definedName name="p_dt_o_c" localSheetId="10">OFFSET('[3]Калькулятор бюджета по этапам'!$H$105,1,0,COUNTA('[3]Калькулятор бюджета по этапам'!$B$105:$B$111)-1,1)</s:definedName>
    <s:definedName name="p_dt_o_c" localSheetId="2">OFFSET('[4]Калькулятор бюджета'!$G$100,1,0,COUNTA('[4]Калькулятор бюджета'!$B$100:$B$105)-1,1)</s:definedName>
    <s:definedName name="p_dt_o_c" localSheetId="5">OFFSET('[2]Калькулятор бюджета'!$G$110,1,0,COUNTA('[2]Калькулятор бюджета'!$B$110:$B$115)-1,1)</s:definedName>
    <s:definedName name="p_dt_o_c">OFFSET('Калькулятор бюджета по этапам'!$H$105,1,0,COUNTA('Калькулятор бюджета по этапам'!$B$105:$B$111)-1,1)</s:definedName>
    <s:definedName name="p_dt_o_ph" localSheetId="4">OFFSET('[2]Калькулятор бюджета'!$B$110,1,0,COUNTA('[2]Калькулятор бюджета'!$B$110:$B$115)-1,1)</s:definedName>
    <s:definedName name="p_dt_o_ph" localSheetId="9">OFFSET('Калькулятор бюджета по ЦФО'!$B$97,1,0,COUNTA('Калькулятор бюджета по ЦФО'!$B$97:$B$102)-1,1)</s:definedName>
    <s:definedName name="p_dt_o_ph" localSheetId="10">OFFSET('[3]Калькулятор бюджета по этапам'!$B$105,1,0,COUNTA('[3]Калькулятор бюджета по этапам'!$B$105:$B$111)-1,1)</s:definedName>
    <s:definedName name="p_dt_o_ph" localSheetId="2">OFFSET('[4]Калькулятор бюджета'!$B$100,1,0,COUNTA('[4]Калькулятор бюджета'!$B$100:$B$105)-1,1)</s:definedName>
    <s:definedName name="p_dt_o_ph" localSheetId="5">OFFSET('[2]Калькулятор бюджета'!$B$110,1,0,COUNTA('[2]Калькулятор бюджета'!$B$110:$B$115)-1,1)</s:definedName>
    <s:definedName name="p_dt_o_ph">OFFSET('Калькулятор бюджета по этапам'!$B$105,1,0,COUNTA('Калькулятор бюджета по этапам'!$B$105:$B$111)-1,1)</s:definedName>
    <s:definedName name="p_dt_o_r" localSheetId="4">OFFSET('[2]Калькулятор бюджета'!$I$110,1,0,COUNTA('[2]Калькулятор бюджета'!$B$110:$B$115)-1,1)</s:definedName>
    <s:definedName name="p_dt_o_r" localSheetId="9">OFFSET('Калькулятор бюджета по ЦФО'!$J$97,1,0,COUNTA('Калькулятор бюджета по ЦФО'!$B$97:$B$102)-1,1)</s:definedName>
    <s:definedName name="p_dt_o_r" localSheetId="10">OFFSET('[3]Калькулятор бюджета по этапам'!$J$105,1,0,COUNTA('[3]Калькулятор бюджета по этапам'!$B$105:$B$111)-1,1)</s:definedName>
    <s:definedName name="p_dt_o_r" localSheetId="2">OFFSET('[4]Калькулятор бюджета'!$I$100,1,0,COUNTA('[4]Калькулятор бюджета'!$B$100:$B$105)-1,1)</s:definedName>
    <s:definedName name="p_dt_o_r" localSheetId="5">OFFSET('[2]Калькулятор бюджета'!$I$110,1,0,COUNTA('[2]Калькулятор бюджета'!$B$110:$B$115)-1,1)</s:definedName>
    <s:definedName name="p_dt_o_r">OFFSET('Калькулятор бюджета по этапам'!$J$105,1,0,COUNTA('Калькулятор бюджета по этапам'!$B$105:$B$111)-1,1)</s:definedName>
    <s:definedName name="p_dt_t_c" localSheetId="4">OFFSET('[2]Калькулятор бюджета'!$F$136,1,0,COUNTA('[2]Калькулятор бюджета'!$B$136:$B$143)-1,1)</s:definedName>
    <s:definedName name="p_dt_t_c" localSheetId="9">OFFSET('Калькулятор бюджета по ЦФО'!$G$123,1,0,COUNTA('Калькулятор бюджета по ЦФО'!$B$123:$B$130)-1,1)</s:definedName>
    <s:definedName name="p_dt_t_c" localSheetId="10">OFFSET('[3]Калькулятор бюджета по этапам'!$G$134,1,0,COUNTA('[3]Калькулятор бюджета по этапам'!$B$134:$B$142)-1,1)</s:definedName>
    <s:definedName name="p_dt_t_c" localSheetId="2">OFFSET('[4]Калькулятор бюджета'!$F$126,1,0,COUNTA('[4]Калькулятор бюджета'!$B$126:$B$133)-1,1)</s:definedName>
    <s:definedName name="p_dt_t_c" localSheetId="5">OFFSET('[2]Калькулятор бюджета'!$F$136,1,0,COUNTA('[2]Калькулятор бюджета'!$B$136:$B$143)-1,1)</s:definedName>
    <s:definedName name="p_dt_t_c">OFFSET('Калькулятор бюджета по этапам'!$G$134,1,0,COUNTA('Калькулятор бюджета по этапам'!$B$134:$B$142)-1,1)</s:definedName>
    <s:definedName name="p_dt_t_ph" localSheetId="4">OFFSET('[2]Калькулятор бюджета'!$B$136,1,0,COUNTA('[2]Калькулятор бюджета'!$B$136:$B$143)-1,1)</s:definedName>
    <s:definedName name="p_dt_t_ph" localSheetId="9">OFFSET('Калькулятор бюджета по ЦФО'!$B$123,1,0,COUNTA('Калькулятор бюджета по ЦФО'!$B$123:$B$130)-1,1)</s:definedName>
    <s:definedName name="p_dt_t_ph" localSheetId="10">OFFSET('[3]Калькулятор бюджета по этапам'!$B$134,1,0,COUNTA('[3]Калькулятор бюджета по этапам'!$B$134:$B$142)-1,1)</s:definedName>
    <s:definedName name="p_dt_t_ph" localSheetId="2">OFFSET('[4]Калькулятор бюджета'!$B$126,1,0,COUNTA('[4]Калькулятор бюджета'!$B$126:$B$133)-1,1)</s:definedName>
    <s:definedName name="p_dt_t_ph" localSheetId="5">OFFSET('[2]Калькулятор бюджета'!$B$136,1,0,COUNTA('[2]Калькулятор бюджета'!$B$136:$B$143)-1,1)</s:definedName>
    <s:definedName name="p_dt_t_ph">OFFSET('Калькулятор бюджета по этапам'!$B$134,1,0,COUNTA('Калькулятор бюджета по этапам'!$B$134:$B$142)-1,1)</s:definedName>
    <s:definedName name="p_dt_t_r" localSheetId="4">OFFSET('[2]Калькулятор бюджета'!$H$136,1,0,COUNTA('[2]Калькулятор бюджета'!$B$136:$B$143)-1,1)</s:definedName>
    <s:definedName name="p_dt_t_r" localSheetId="9">OFFSET('Калькулятор бюджета по ЦФО'!$I$123,1,0,COUNTA('Калькулятор бюджета по ЦФО'!$B$123:$B$130)-1,1)</s:definedName>
    <s:definedName name="p_dt_t_r" localSheetId="10">OFFSET('[3]Калькулятор бюджета по этапам'!$I$134,1,0,COUNTA('[3]Калькулятор бюджета по этапам'!$B$134:$B$142)-1,1)</s:definedName>
    <s:definedName name="p_dt_t_r" localSheetId="2">OFFSET('[4]Калькулятор бюджета'!$H$126,1,0,COUNTA('[4]Калькулятор бюджета'!$B$126:$B$133)-1,1)</s:definedName>
    <s:definedName name="p_dt_t_r" localSheetId="5">OFFSET('[2]Калькулятор бюджета'!$H$136,1,0,COUNTA('[2]Калькулятор бюджета'!$B$136:$B$143)-1,1)</s:definedName>
    <s:definedName name="p_dt_t_r">OFFSET('Калькулятор бюджета по этапам'!$I$134,1,0,COUNTA('Калькулятор бюджета по этапам'!$B$134:$B$142)-1,1)</s:definedName>
    <s:definedName name="p_ic_c_c" localSheetId="4">OFFSET('[2]Калькулятор бюджета'!$J$96,1,0,COUNTA('[2]Калькулятор бюджета'!$B$96:$B$106)-1,1)</s:definedName>
    <s:definedName name="p_ic_c_c" localSheetId="9">OFFSET('Калькулятор бюджета по ЦФО'!$K$83,1,0,COUNTA('Калькулятор бюджета по ЦФО'!$B$83:$B$93)-1,1)</s:definedName>
    <s:definedName name="p_ic_c_c" localSheetId="10">OFFSET('[3]Калькулятор бюджета по этапам'!$K$90,1,0,COUNTA('[3]Калькулятор бюджета по этапам'!$B$90:$B$101)-1,1)</s:definedName>
    <s:definedName name="p_ic_c_c" localSheetId="2">OFFSET('[4]Калькулятор бюджета'!$J$86,1,0,COUNTA('[4]Калькулятор бюджета'!$B$86:$B$96)-1,1)</s:definedName>
    <s:definedName name="p_ic_c_c" localSheetId="5">OFFSET('[2]Калькулятор бюджета'!$J$96,1,0,COUNTA('[2]Калькулятор бюджета'!$B$96:$B$106)-1,1)</s:definedName>
    <s:definedName name="p_ic_c_c">OFFSET('Калькулятор бюджета по этапам'!$K$90,1,0,COUNTA('Калькулятор бюджета по этапам'!$B$90:$B$101)-1,1)</s:definedName>
    <s:definedName name="p_ic_c_eff" localSheetId="4">OFFSET('[2]Калькулятор бюджета'!$H$96,1,0,COUNTA('[2]Калькулятор бюджета'!$B$96:$B$106)-1,1)</s:definedName>
    <s:definedName name="p_ic_c_eff" localSheetId="9">OFFSET('Калькулятор бюджета по ЦФО'!$I$83,1,0,COUNTA('Калькулятор бюджета по ЦФО'!$B$83:$B$93)-1,1)</s:definedName>
    <s:definedName name="p_ic_c_eff" localSheetId="10">OFFSET('[3]Калькулятор бюджета по этапам'!$I$90,1,0,COUNTA('[3]Калькулятор бюджета по этапам'!$B$90:$B$101)-1,1)</s:definedName>
    <s:definedName name="p_ic_c_eff" localSheetId="2">OFFSET('[4]Калькулятор бюджета'!$H$86,1,0,COUNTA('[4]Калькулятор бюджета'!$B$86:$B$96)-1,1)</s:definedName>
    <s:definedName name="p_ic_c_eff" localSheetId="5">OFFSET('[2]Калькулятор бюджета'!$H$96,1,0,COUNTA('[2]Калькулятор бюджета'!$B$96:$B$106)-1,1)</s:definedName>
    <s:definedName name="p_ic_c_eff">OFFSET('Калькулятор бюджета по этапам'!$I$90,1,0,COUNTA('Калькулятор бюджета по этапам'!$B$90:$B$101)-1,1)</s:definedName>
    <s:definedName name="p_ic_c_ph" localSheetId="4">OFFSET('[2]Калькулятор бюджета'!$B$96,1,0,COUNTA('[2]Калькулятор бюджета'!$B$96:$B$106)-1,1)</s:definedName>
    <s:definedName name="p_ic_c_ph" localSheetId="9">OFFSET('Калькулятор бюджета по ЦФО'!$B$83,1,0,COUNTA('Калькулятор бюджета по ЦФО'!$B$83:$B$93)-1,1)</s:definedName>
    <s:definedName name="p_ic_c_ph" localSheetId="10">OFFSET('[3]Калькулятор бюджета по этапам'!$B$90,1,0,COUNTA('[3]Калькулятор бюджета по этапам'!$B$90:$B$101)-1,1)</s:definedName>
    <s:definedName name="p_ic_c_ph" localSheetId="2">OFFSET('[4]Калькулятор бюджета'!$B$86,1,0,COUNTA('[4]Калькулятор бюджета'!$B$86:$B$96)-1,1)</s:definedName>
    <s:definedName name="p_ic_c_ph" localSheetId="5">OFFSET('[2]Калькулятор бюджета'!$B$96,1,0,COUNTA('[2]Калькулятор бюджета'!$B$96:$B$106)-1,1)</s:definedName>
    <s:definedName name="p_ic_c_ph">OFFSET('Калькулятор бюджета по этапам'!$B$90,1,0,COUNTA('Калькулятор бюджета по этапам'!$B$90:$B$101)-1,1)</s:definedName>
    <s:definedName name="p_ic_c_r" localSheetId="4">OFFSET('[2]Калькулятор бюджета'!$S$96,1,0,COUNTA('[2]Калькулятор бюджета'!$B$96:$B$106)-1,1)</s:definedName>
    <s:definedName name="p_ic_c_r" localSheetId="9">OFFSET('Калькулятор бюджета по ЦФО'!$N$83,1,0,COUNTA('Калькулятор бюджета по ЦФО'!$B$83:$B$93)-1,1)</s:definedName>
    <s:definedName name="p_ic_c_r" localSheetId="10">OFFSET('[3]Калькулятор бюджета по этапам'!$N$90,1,0,COUNTA('[3]Калькулятор бюджета по этапам'!$B$90:$B$101)-1,1)</s:definedName>
    <s:definedName name="p_ic_c_r" localSheetId="2">OFFSET('[4]Калькулятор бюджета'!$M$86,1,0,COUNTA('[4]Калькулятор бюджета'!$B$86:$B$96)-1,1)</s:definedName>
    <s:definedName name="p_ic_c_r" localSheetId="5">OFFSET('[2]Калькулятор бюджета'!$S$96,1,0,COUNTA('[2]Калькулятор бюджета'!$B$96:$B$106)-1,1)</s:definedName>
    <s:definedName name="p_ic_c_r">OFFSET('Калькулятор бюджета по этапам'!$N$90,1,0,COUNTA('Калькулятор бюджета по этапам'!$B$90:$B$101)-1,1)</s:definedName>
    <s:definedName name="p_ic_o_c" localSheetId="4">OFFSET('[2]Калькулятор бюджета'!$G$127,1,0,COUNTA('[2]Калькулятор бюджета'!$B$127:$B$132)-1,1)</s:definedName>
    <s:definedName name="p_ic_o_c" localSheetId="9">OFFSET('Калькулятор бюджета по ЦФО'!$H$114,1,0,COUNTA('Калькулятор бюджета по ЦФО'!$B$114:$B$119)-1,1)</s:definedName>
    <s:definedName name="p_ic_o_c" localSheetId="10">OFFSET('[3]Калькулятор бюджета по этапам'!$H$124,1,0,COUNTA('[3]Калькулятор бюджета по этапам'!$B$124:$B$130)-1,1)</s:definedName>
    <s:definedName name="p_ic_o_c" localSheetId="2">OFFSET('[4]Калькулятор бюджета'!$G$117,1,0,COUNTA('[4]Калькулятор бюджета'!$B$117:$B$122)-1,1)</s:definedName>
    <s:definedName name="p_ic_o_c" localSheetId="5">OFFSET('[2]Калькулятор бюджета'!$G$127,1,0,COUNTA('[2]Калькулятор бюджета'!$B$127:$B$132)-1,1)</s:definedName>
    <s:definedName name="p_ic_o_c">OFFSET('Калькулятор бюджета по этапам'!$H$124,1,0,COUNTA('Калькулятор бюджета по этапам'!$B$124:$B$130)-1,1)</s:definedName>
    <s:definedName name="p_ic_o_ph" localSheetId="4">OFFSET('[2]Калькулятор бюджета'!$B$127,1,0,COUNTA('[2]Калькулятор бюджета'!$B$127:$B$132)-1,1)</s:definedName>
    <s:definedName name="p_ic_o_ph" localSheetId="9">OFFSET('Калькулятор бюджета по ЦФО'!$B$114,1,0,COUNTA('Калькулятор бюджета по ЦФО'!$B$114:$B$119)-1,1)</s:definedName>
    <s:definedName name="p_ic_o_ph" localSheetId="10">OFFSET('[3]Калькулятор бюджета по этапам'!$B$124,1,0,COUNTA('[3]Калькулятор бюджета по этапам'!$B$124:$B$130)-1,1)</s:definedName>
    <s:definedName name="p_ic_o_ph" localSheetId="2">OFFSET('[4]Калькулятор бюджета'!$B$117,1,0,COUNTA('[4]Калькулятор бюджета'!$B$117:$B$122)-1,1)</s:definedName>
    <s:definedName name="p_ic_o_ph" localSheetId="5">OFFSET('[2]Калькулятор бюджета'!$B$127,1,0,COUNTA('[2]Калькулятор бюджета'!$B$127:$B$132)-1,1)</s:definedName>
    <s:definedName name="p_ic_o_ph">OFFSET('Калькулятор бюджета по этапам'!$B$124,1,0,COUNTA('Калькулятор бюджета по этапам'!$B$124:$B$130)-1,1)</s:definedName>
    <s:definedName name="p_ic_o_r" localSheetId="4">OFFSET('[2]Калькулятор бюджета'!$I$127,1,0,COUNTA('[2]Калькулятор бюджета'!$B$127:$B$132)-1,1)</s:definedName>
    <s:definedName name="p_ic_o_r" localSheetId="9">OFFSET('Калькулятор бюджета по ЦФО'!$J$114,1,0,COUNTA('Калькулятор бюджета по ЦФО'!$B$114:$B$119)-1,1)</s:definedName>
    <s:definedName name="p_ic_o_r" localSheetId="10">OFFSET('[3]Калькулятор бюджета по этапам'!$J$124,1,0,COUNTA('[3]Калькулятор бюджета по этапам'!$B$124:$B$130)-1,1)</s:definedName>
    <s:definedName name="p_ic_o_r" localSheetId="2">OFFSET('[4]Калькулятор бюджета'!$I$117,1,0,COUNTA('[4]Калькулятор бюджета'!$B$117:$B$122)-1,1)</s:definedName>
    <s:definedName name="p_ic_o_r" localSheetId="5">OFFSET('[2]Калькулятор бюджета'!$I$127,1,0,COUNTA('[2]Калькулятор бюджета'!$B$127:$B$132)-1,1)</s:definedName>
    <s:definedName name="p_ic_o_r">OFFSET('Калькулятор бюджета по этапам'!$J$124,1,0,COUNTA('Калькулятор бюджета по этапам'!$B$124:$B$130)-1,1)</s:definedName>
    <s:definedName name="p_ic_t_c" localSheetId="4">OFFSET('[2]Калькулятор бюджета'!$F$158,1,0,COUNTA('[2]Калькулятор бюджета'!$B$159:$B$165)-1,1)</s:definedName>
    <s:definedName name="p_ic_t_c" localSheetId="9">OFFSET('Калькулятор бюджета по ЦФО'!$G$145,1,0,COUNTA('Калькулятор бюджета по ЦФО'!$B$146:$B$152)-1,1)</s:definedName>
    <s:definedName name="p_ic_t_c" localSheetId="10">OFFSET('[3]Калькулятор бюджета по этапам'!$G$158,1,0,COUNTA('[3]Калькулятор бюджета по этапам'!$B$159:$B$166)-1,1)</s:definedName>
    <s:definedName name="p_ic_t_c" localSheetId="2">OFFSET('[4]Калькулятор бюджета'!$F$148,1,0,COUNTA('[4]Калькулятор бюджета'!$B$149:$B$155)-1,1)</s:definedName>
    <s:definedName name="p_ic_t_c" localSheetId="5">OFFSET('[2]Калькулятор бюджета'!$F$158,1,0,COUNTA('[2]Калькулятор бюджета'!$B$159:$B$165)-1,1)</s:definedName>
    <s:definedName name="p_ic_t_c">OFFSET('Калькулятор бюджета по этапам'!$G$158,1,0,COUNTA('Калькулятор бюджета по этапам'!$B$159:$B$166)-1,1)</s:definedName>
    <s:definedName name="p_ic_t_ph" localSheetId="4">OFFSET('[2]Калькулятор бюджета'!$B$158,1,0,COUNTA('[2]Калькулятор бюджета'!$B$159:$B$165)-1,1)</s:definedName>
    <s:definedName name="p_ic_t_ph" localSheetId="9">OFFSET('Калькулятор бюджета по ЦФО'!$B$145,1,0,COUNTA('Калькулятор бюджета по ЦФО'!$B$146:$B$152)-1,1)</s:definedName>
    <s:definedName name="p_ic_t_ph" localSheetId="10">OFFSET('[3]Калькулятор бюджета по этапам'!$B$158,1,0,COUNTA('[3]Калькулятор бюджета по этапам'!$B$159:$B$166)-1,1)</s:definedName>
    <s:definedName name="p_ic_t_ph" localSheetId="2">OFFSET('[4]Калькулятор бюджета'!$B$148,1,0,COUNTA('[4]Калькулятор бюджета'!$B$149:$B$155)-1,1)</s:definedName>
    <s:definedName name="p_ic_t_ph" localSheetId="5">OFFSET('[2]Калькулятор бюджета'!$B$158,1,0,COUNTA('[2]Калькулятор бюджета'!$B$159:$B$165)-1,1)</s:definedName>
    <s:definedName name="p_ic_t_ph">OFFSET('Калькулятор бюджета по этапам'!$B$158,1,0,COUNTA('Калькулятор бюджета по этапам'!$B$159:$B$166)-1,1)</s:definedName>
    <s:definedName name="p_ic_t_r" localSheetId="4">OFFSET('[2]Калькулятор бюджета'!$H$158,1,0,COUNTA('[2]Калькулятор бюджета'!$B$159:$B$165)-1,1)</s:definedName>
    <s:definedName name="p_ic_t_r" localSheetId="9">OFFSET('Калькулятор бюджета по ЦФО'!$I$145,1,0,COUNTA('Калькулятор бюджета по ЦФО'!$B$146:$B$152)-1,1)</s:definedName>
    <s:definedName name="p_ic_t_r" localSheetId="10">OFFSET('[3]Калькулятор бюджета по этапам'!$I$158,1,0,COUNTA('[3]Калькулятор бюджета по этапам'!$B$159:$B$166)-1,1)</s:definedName>
    <s:definedName name="p_ic_t_r" localSheetId="2">OFFSET('[4]Калькулятор бюджета'!$H$148,1,0,COUNTA('[4]Калькулятор бюджета'!$B$149:$B$155)-1,1)</s:definedName>
    <s:definedName name="p_ic_t_r" localSheetId="5">OFFSET('[2]Калькулятор бюджета'!$H$158,1,0,COUNTA('[2]Калькулятор бюджета'!$B$159:$B$165)-1,1)</s:definedName>
    <s:definedName name="p_ic_t_r">OFFSET('Калькулятор бюджета по этапам'!$I$158,1,0,COUNTA('Калькулятор бюджета по этапам'!$B$159:$B$166)-1,1)</s:definedName>
    <s:definedName name="pract">#NAME?</s:definedName>
    <s:definedName name="r_3p_role" localSheetId="4">OFFSET('[2]Ставки и расходы'!$C$46,1,0,COUNTA('[2]Ставки и расходы'!$C$46:$C$51)-1,1)</s:definedName>
    <s:definedName name="r_3p_role" localSheetId="10">OFFSET('[3]Ставки и расходы'!$C$36,1,0,COUNTA('[3]Ставки и расходы'!$C$36:$C$41)-1,1)</s:definedName>
    <s:definedName name="r_3p_role" localSheetId="2">OFFSET('[4]Ставки и расходы'!$C$46,1,0,COUNTA('[4]Ставки и расходы'!$C$46:$C$51)-1,1)</s:definedName>
    <s:definedName name="r_3p_role" localSheetId="5">OFFSET('[2]Ставки и расходы'!$C$46,1,0,COUNTA('[2]Ставки и расходы'!$C$46:$C$51)-1,1)</s:definedName>
    <s:definedName name="r_3p_role">OFFSET('Ставки и расходы'!$C$36,1,0,COUNTA('Ставки и расходы'!$C$36:$C$41)-1,1)</s:definedName>
    <s:definedName name="r_3P_team" localSheetId="4">OFFSET('[2]Ставки и расходы'!$C$46,1,0,COUNTA('[2]Ставки и расходы'!$C$46:$C$51)-1,3)</s:definedName>
    <s:definedName name="r_3P_team" localSheetId="10">OFFSET('[3]Ставки и расходы'!$C$36,1,0,COUNTA('[3]Ставки и расходы'!$C$36:$C$41)-1,3)</s:definedName>
    <s:definedName name="r_3P_team" localSheetId="2">OFFSET('[4]Ставки и расходы'!$C$46,1,0,COUNTA('[4]Ставки и расходы'!$C$46:$C$51)-1,3)</s:definedName>
    <s:definedName name="r_3P_team" localSheetId="5">OFFSET('[2]Ставки и расходы'!$C$46,1,0,COUNTA('[2]Ставки и расходы'!$C$46:$C$51)-1,3)</s:definedName>
    <s:definedName name="r_3P_team">OFFSET('Ставки и расходы'!$C$36,1,0,COUNTA('Ставки и расходы'!$C$36:$C$41)-1,3)</s:definedName>
    <s:definedName name="r_cns_efforts" localSheetId="4">OFFSET(#REF!,0,0,COUNTA(#REF!)-2,1)</s:definedName>
    <s:definedName name="r_cns_efforts" localSheetId="9">OFFSET(#REF!,0,0,COUNTA(#REF!)-2,1)</s:definedName>
    <s:definedName name="r_cns_efforts" localSheetId="5">OFFSET(#REF!,0,0,COUNTA(#REF!)-2,1)</s:definedName>
    <s:definedName name="r_cns_efforts">OFFSET(#REF!,0,0,COUNTA(#REF!)-2,1)</s:definedName>
    <s:definedName name="r_cns_months" localSheetId="4">OFFSET(#REF!,0,0,COUNTA(#REF!)-2,1)</s:definedName>
    <s:definedName name="r_cns_months" localSheetId="9">OFFSET(#REF!,0,0,COUNTA(#REF!)-2,1)</s:definedName>
    <s:definedName name="r_cns_months" localSheetId="5">OFFSET(#REF!,0,0,COUNTA(#REF!)-2,1)</s:definedName>
    <s:definedName name="r_cns_months">OFFSET(#REF!,0,0,COUNTA(#REF!)-2,1)</s:definedName>
    <s:definedName name="r_cns_other" localSheetId="4">OFFSET(#REF!,0,0,COUNTA(#REF!)-2,1)</s:definedName>
    <s:definedName name="r_cns_other" localSheetId="9">OFFSET(#REF!,0,0,COUNTA(#REF!)-2,1)</s:definedName>
    <s:definedName name="r_cns_other" localSheetId="5">OFFSET(#REF!,0,0,COUNTA(#REF!)-2,1)</s:definedName>
    <s:definedName name="r_cns_other">OFFSET(#REF!,0,0,COUNTA(#REF!)-2,1)</s:definedName>
    <s:definedName name="r_cns_totalcosts" localSheetId="4">OFFSET(#REF!,0,0,COUNTA(#REF!)-2,1)</s:definedName>
    <s:definedName name="r_cns_totalcosts" localSheetId="9">OFFSET(#REF!,0,0,COUNTA(#REF!)-2,1)</s:definedName>
    <s:definedName name="r_cns_totalcosts" localSheetId="5">OFFSET(#REF!,0,0,COUNTA(#REF!)-2,1)</s:definedName>
    <s:definedName name="r_cns_totalcosts">OFFSET(#REF!,0,0,COUNTA(#REF!)-2,1)</s:definedName>
    <s:definedName name="r_cns_travel" localSheetId="4">OFFSET(#REF!,0,0,COUNTA(#REF!)-2,1)</s:definedName>
    <s:definedName name="r_cns_travel" localSheetId="9">OFFSET(#REF!,0,0,COUNTA(#REF!)-2,1)</s:definedName>
    <s:definedName name="r_cns_travel" localSheetId="5">OFFSET(#REF!,0,0,COUNTA(#REF!)-2,1)</s:definedName>
    <s:definedName name="r_cns_travel">OFFSET(#REF!,0,0,COUNTA(#REF!)-2,1)</s:definedName>
    <s:definedName name="r_dt_team" localSheetId="4">OFFSET('[2]Ставки и расходы'!$C$25,1,0,COUNTA('[2]Ставки и расходы'!$C$25:$C$44)-1,5)</s:definedName>
    <s:definedName name="r_dt_team" localSheetId="10">OFFSET('[3]Ставки и расходы'!$C$21,1,0,COUNTA('[3]Ставки и расходы'!$C$21:$C$34)-1,5)</s:definedName>
    <s:definedName name="r_dt_team" localSheetId="2">OFFSET('[4]Ставки и расходы'!$C$25,1,0,COUNTA('[4]Ставки и расходы'!$C$25:$C$44)-1,5)</s:definedName>
    <s:definedName name="r_dt_team" localSheetId="5">OFFSET('[2]Ставки и расходы'!$C$25,1,0,COUNTA('[2]Ставки и расходы'!$C$25:$C$44)-1,5)</s:definedName>
    <s:definedName name="r_dt_team">OFFSET('Ставки и расходы'!$C$21,1,0,COUNTA('Ставки и расходы'!$C$21:$C$34)-1,5)</s:definedName>
    <s:definedName name="r_gradelist" localSheetId="4">'[2]Ставки и расходы'!$C$11:$C$20</s:definedName>
    <s:definedName name="r_gradelist" localSheetId="10">'[3]Ставки и расходы'!$C$11:$C$16</s:definedName>
    <s:definedName name="r_gradelist" localSheetId="2">'[4]Ставки и расходы'!$C$11:$C$20</s:definedName>
    <s:definedName name="r_gradelist" localSheetId="5">'[2]Ставки и расходы'!$C$11:$C$20</s:definedName>
    <s:definedName name="r_gradelist">'Ставки и расходы'!$C$11:$C$16</s:definedName>
    <s:definedName name="r_grades">#NAME?</s:definedName>
    <s:definedName name="r_ic_role" localSheetId="4">OFFSET('[2]Ставки и расходы'!$C$53,1,0,COUNTA('[2]Ставки и расходы'!$C$53:$C$2989)-1,1)</s:definedName>
    <s:definedName name="r_ic_role" localSheetId="10">OFFSET('[3]Ставки и расходы'!$C$43,1,0,COUNTA('[3]Ставки и расходы'!$C$43:$C$2979)-1,1)</s:definedName>
    <s:definedName name="r_ic_role" localSheetId="2">OFFSET('[4]Ставки и расходы'!$C$53,1,0,COUNTA('[4]Ставки и расходы'!$C$53:$C$2989)-1,1)</s:definedName>
    <s:definedName name="r_ic_role" localSheetId="5">OFFSET('[2]Ставки и расходы'!$C$53,1,0,COUNTA('[2]Ставки и расходы'!$C$53:$C$2989)-1,1)</s:definedName>
    <s:definedName name="r_ic_role">OFFSET('Ставки и расходы'!$C$43,1,0,COUNTA('Ставки и расходы'!$C$43:$C$2979)-1,1)</s:definedName>
    <s:definedName name="r_ICteam" localSheetId="4">OFFSET('[2]Ставки и расходы'!$C$53,1,0,COUNTA('[2]Ставки и расходы'!$C$53:$C$2989)-1,3)</s:definedName>
    <s:definedName name="r_ICteam" localSheetId="10">OFFSET('[3]Ставки и расходы'!$C$43,1,0,COUNTA('[3]Ставки и расходы'!$C$43:$C$2979)-1,3)</s:definedName>
    <s:definedName name="r_ICteam" localSheetId="2">OFFSET('[4]Ставки и расходы'!$C$53,1,0,COUNTA('[4]Ставки и расходы'!$C$53:$C$2989)-1,3)</s:definedName>
    <s:definedName name="r_ICteam" localSheetId="5">OFFSET('[2]Ставки и расходы'!$C$53,1,0,COUNTA('[2]Ставки и расходы'!$C$53:$C$2989)-1,3)</s:definedName>
    <s:definedName name="r_ICteam">OFFSET('Ставки и расходы'!$C$43,1,0,COUNTA('Ставки и расходы'!$C$43:$C$2979)-1,3)</s:definedName>
    <s:definedName name="r_months">Classifications!$A$2:$A$13</s:definedName>
    <s:definedName name="r_period">ОПУ!$L$3:$P$3</s:definedName>
    <s:definedName name="r_role" localSheetId="4">OFFSET('[2]Ставки и расходы'!$C$25,1,0,COUNTA('[2]Ставки и расходы'!$C$25:$C$44)-1,1)</s:definedName>
    <s:definedName name="r_role" localSheetId="10">OFFSET('[3]Ставки и расходы'!$C$21,1,0,COUNTA('[3]Ставки и расходы'!$C$21:$C$34)-1,1)</s:definedName>
    <s:definedName name="r_role" localSheetId="2">OFFSET('[4]Ставки и расходы'!$C$25,1,0,COUNTA('[4]Ставки и расходы'!$C$25:$C$44)-1,1)</s:definedName>
    <s:definedName name="r_role" localSheetId="5">OFFSET('[2]Ставки и расходы'!$C$25,1,0,COUNTA('[2]Ставки и расходы'!$C$25:$C$44)-1,1)</s:definedName>
    <s:definedName name="r_role">OFFSET('Ставки и расходы'!$C$21,1,0,COUNTA('Ставки и расходы'!$C$21:$C$34)-1,1)</s:definedName>
    <s:definedName name="Roles">#NAME?</s:definedName>
    <s:definedName name="wbs_n_estimates" localSheetId="6">'[5]Оценка Трудозатрат'!$B$8:$I$39</s:definedName>
    <s:definedName name="wbs_n_estimates">'[6]Оценка Трудозатрат'!$B$8:$I$39</s:definedName>
    <s:definedName name="_xlnm.Print_Area" localSheetId="9">'Калькулятор бюджета по ЦФО'!$B$3:$I$65</s:definedName>
    <s:definedName name="_xlnm.Print_Area" localSheetId="1">'Калькулятор бюджета по этапам'!$B$6:$I$71</s:definedName>
  </s:definedNames>
  <s:calcPr calcId="191029"/>
</s:workbook>
</file>

<file path=xl/sharedStrings.xml><?xml version="1.0" encoding="utf-8"?>
<s:sst xmlns:s="http://schemas.openxmlformats.org/spreadsheetml/2006/main" count="912" uniqueCount="390">
  <s:si>
    <s:t>Информация о проекте</s:t>
  </s:si>
  <s:si>
    <s:t>Имя проекта:</s:t>
  </s:si>
  <s:si>
    <s:t>Код проекта:</s:t>
  </s:si>
  <s:si>
    <s:t>Заказчик:</s:t>
  </s:si>
  <s:si>
    <s:t>РП:</s:t>
  </s:si>
  <s:si>
    <s:t>Дата старта</s:t>
  </s:si>
  <s:si>
    <s:t>Дата завершения</s:t>
  </s:si>
  <s:si>
    <s:t>1.1. Позиции и ставки</s:t>
  </s:si>
  <s:si>
    <s:t>Позиция</s:t>
  </s:si>
  <s:si>
    <s:t>Ставка себестоимости ч/д, руб.</s:t>
  </s:si>
  <s:si>
    <s:t>Минимальная внешняя ставка ч/д, руб.</s:t>
  </s:si>
  <s:si>
    <s:t>Рекомендуемая внешняя ставка ч/д, руб.</s:t>
  </s:si>
  <s:si>
    <s:t>Расчетная внешняя ставка ч/д, руб.</s:t>
  </s:si>
  <s:si>
    <s:t>Скидка</s:t>
  </s:si>
  <s:si>
    <s:t>Скидка
(внутренняя ставка)</s:t>
  </s:si>
  <s:si>
    <s:t>1.2 Команда</s:t>
  </s:si>
  <s:si>
    <s:t>ФИО</s:t>
  </s:si>
  <s:si>
    <s:t>Роль</s:t>
  </s:si>
  <s:si>
    <s:t>Внутренняя ставка ч/д, руб.</s:t>
  </s:si>
  <s:si>
    <s:t>Внешняя ставка ч/д, руб.</s:t>
  </s:si>
  <s:si>
    <s:t>Наценка
(%)</s:t>
  </s:si>
  <s:si>
    <s:t>1.3 Команда, субподряд</s:t>
  </s:si>
  <s:si>
    <s:t xml:space="preserve">Компания/ФИО/Роль
</s:t>
  </s:si>
  <s:si>
    <s:t>Ставка для компании
 ч/д, руб.</s:t>
  </s:si>
  <s:si>
    <s:t>Ставка для клиента
 ч/д, руб.</s:t>
  </s:si>
  <s:si>
    <s:t>1.4 Команда, группа компаний</s:t>
  </s:si>
  <s:si>
    <s:t>Компания/ФИО/Роль</s:t>
  </s:si>
  <s:si>
    <s:t xml:space="preserve">Коэффициент </s:t>
  </s:si>
  <s:si>
    <s:t>с НДС</s:t>
  </s:si>
  <s:si>
    <s:t>ОПУ</s:t>
  </s:si>
  <s:si>
    <s:t>Этапы проекта</s:t>
  </s:si>
  <s:si>
    <s:t>Итого</s:t>
  </s:si>
  <s:si>
    <s:t>Э1</s:t>
  </s:si>
  <s:si>
    <s:t>Э2</s:t>
  </s:si>
  <s:si>
    <s:t>Трудозатраты, ч/д</s:t>
  </s:si>
  <s:si>
    <s:t>Собственные</s:t>
  </s:si>
  <s:si>
    <s:t>Субподряд</s:t>
  </s:si>
  <s:si>
    <s:t>Группа компаний</s:t>
  </s:si>
  <s:si>
    <s:t>Выручка</s:t>
  </s:si>
  <s:si>
    <s:t>Собственная</s:t>
  </s:si>
  <s:si>
    <s:t>Расходы</s:t>
  </s:si>
  <s:si>
    <s:t>Компания</s:t>
  </s:si>
  <s:si>
    <s:t>Работы</s:t>
  </s:si>
  <s:si>
    <s:t>Прочие</s:t>
  </s:si>
  <s:si>
    <s:t>Командировки</s:t>
  </s:si>
  <s:si>
    <s:t>Группа Компаний</s:t>
  </s:si>
  <s:si>
    <s:t>Прибыль</s:t>
  </s:si>
  <s:si>
    <s:t>Прибыль (%)</s:t>
  </s:si>
  <s:si>
    <s:t>Собственная - %</s:t>
  </s:si>
  <s:si>
    <s:t>Субподряд - %</s:t>
  </s:si>
  <s:si>
    <s:t>Группа компаний - %</s:t>
  </s:si>
  <s:si>
    <s:t>2.1-1 Калькулятор трудозатрат, собственные</s:t>
  </s:si>
  <s:si>
    <s:t>Этап</s:t>
  </s:si>
  <s:si>
    <s:t>Описание работ</s:t>
  </s:si>
  <s:si>
    <s:t>Трудозатраты</s:t>
  </s:si>
  <s:si>
    <s:t>Коэффициент уверенности</s:t>
  </s:si>
  <s:si>
    <s:t>Резерв</s:t>
  </s:si>
  <s:si>
    <s:t>Общие трудозатраты</s:t>
  </s:si>
  <s:si>
    <s:t>Внутренняя стоимость</s:t>
  </s:si>
  <s:si>
    <s:t>Внешняя стоимость</s:t>
  </s:si>
  <s:si>
    <s:t>Подлежит оплате</s:t>
  </s:si>
  <s:si>
    <s:t>ч/д</s:t>
  </s:si>
  <s:si>
    <s:t>%</s:t>
  </s:si>
  <s:si>
    <s:t>ч/д, руб.</s:t>
  </s:si>
  <s:si>
    <s:t>руб.</s:t>
  </s:si>
  <s:si>
    <s:t>Итого:</s:t>
  </s:si>
  <s:si>
    <s:t>2.1-2 Калькулятор трудозатрат, субподряд</s:t>
  </s:si>
  <s:si>
    <s:t>Участник субподряда</s:t>
  </s:si>
  <s:si>
    <s:t>Ставка для компании</s:t>
  </s:si>
  <s:si>
    <s:t>Стоимость для компании</s:t>
  </s:si>
  <s:si>
    <s:t>Ставка для Клиента</s:t>
  </s:si>
  <s:si>
    <s:t>-</s:t>
  </s:si>
  <s:si>
    <s:t>2.1-3 Калькулятор трудозатрат, группа компаний</s:t>
  </s:si>
  <s:si>
    <s:t>Участник группы компаний</s:t>
  </s:si>
  <s:si>
    <s:t>2.2-1 Прочие расходы, собственные</s:t>
  </s:si>
  <s:si>
    <s:t>Комментарии</s:t>
  </s:si>
  <s:si>
    <s:t>2.2-2 Прочие расходы, субподряд</s:t>
  </s:si>
  <s:si>
    <s:t>2.2-3 Прочие расходы, группа компаний</s:t>
  </s:si>
  <s:si>
    <s:t>2.3-1 Командировочные расходы, собственные</s:t>
  </s:si>
  <s:si>
    <s:t>Категория расходов</s:t>
  </s:si>
  <s:si>
    <s:t>Количество</s:t>
  </s:si>
  <s:si>
    <s:t>Стоимость</s:t>
  </s:si>
  <s:si>
    <s:t>Описание категорий</s:t>
  </s:si>
  <s:si>
    <s:t>Кол-во перелетов/переездов</s:t>
  </s:si>
  <s:si>
    <s:t>Кол-во км.</s:t>
  </s:si>
  <s:si>
    <s:t>Кол-во ночей</s:t>
  </s:si>
  <s:si>
    <s:t>Кол-во суточных</s:t>
  </s:si>
  <s:si>
    <s:t>Кол-во трансферов</s:t>
  </s:si>
  <s:si>
    <s:t>Прочее</s:t>
  </s:si>
  <s:si>
    <s:t>2.3-1 Командировочные расходы, субподряд</s:t>
  </s:si>
  <s:si>
    <s:t>2.3-1 Командировочные расходы, группа компаний</s:t>
  </s:si>
  <s:si>
    <s:t>Расходы/ Месяцы</s:t>
  </s:si>
  <s:si>
    <s:t>По смете:</s:t>
  </s:si>
  <s:si>
    <s:t>Команда</s:t>
  </s:si>
  <s:si>
    <s:t>Внутренняя ставка</s:t>
  </s:si>
  <s:si>
    <s:t>Текущая Дата</s:t>
  </s:si>
  <s:si>
    <s:t>Вероятность проекта</s:t>
  </s:si>
  <s:si>
    <s:t>ФАКТ
(входящий)</s:t>
  </s:si>
  <s:si>
    <s:t>ФАКТ
(проект)</s:t>
  </s:si>
  <s:si>
    <s:t>ФАКТ
(год)</s:t>
  </s:si>
  <s:si>
    <s:t>ИТОГО 
(остаток)</s:t>
  </s:si>
  <s:si>
    <s:t>ИТОГО
(год)</s:t>
  </s:si>
  <s:si>
    <s:t>ИТОГО 
(проект)</s:t>
  </s:si>
  <s:si>
    <s:t>ИТОГО 
(план)</s:t>
  </s:si>
  <s:si>
    <s:t>Этап проекта</s:t>
  </s:si>
  <s:si>
    <s:t>Вероятность</s:t>
  </s:si>
  <s:si>
    <s:t>Акты</s:t>
  </s:si>
  <s:si>
    <s:t>Расходы, собственные</s:t>
  </s:si>
  <s:si>
    <s:t>Расходы, субподряд</s:t>
  </s:si>
  <s:si>
    <s:t>Расходы, группа компаний</s:t>
  </s:si>
  <s:si>
    <s:t>Оплата</s:t>
  </s:si>
  <s:si>
    <s:t>Выручка (взвешенная)</s:t>
  </s:si>
  <s:si>
    <s:t>Платежи (взвешенные)</s:t>
  </s:si>
  <s:si>
    <s:t>Платежи</s:t>
  </s:si>
  <s:si>
    <s:t>Собственная (%)</s:t>
  </s:si>
  <s:si>
    <s:t>Субподряд (%)</s:t>
  </s:si>
  <s:si>
    <s:t>Группа компаний (%)</s:t>
  </s:si>
  <s:si>
    <s:t xml:space="preserve"> НАКОПИТЕЛЬНЫЙ ИТОГО</s:t>
  </s:si>
  <s:si>
    <s:t>№</s:t>
  </s:si>
  <s:si>
    <s:t>Пункт требований</s:t>
  </s:si>
  <s:si>
    <s:t>Ограничения</s:t>
  </s:si>
  <s:si>
    <s:t>Months</s:t>
  </s:si>
  <s:si>
    <s:t>Подразделение (ЦК/ЦФО/МВЗ)</s:t>
  </s:si>
  <s:si>
    <s:t>Дивизион развития технологий искусственного интеллекта</s:t>
  </s:si>
  <s:si>
    <s:t>Дивизион анализа данных и моделирования</s:t>
  </s:si>
  <s:si>
    <s:t>Дивизион</s:t>
  </s:si>
  <s:si>
    <s:t>Группа разработки модельных сервисов</s:t>
  </s:si>
  <s:si>
    <s:t>Группа предиктивной аналитики и прогнозирования</s:t>
  </s:si>
  <s:si>
    <s:t>Группа имитационного моделирования и обучения с подкреплением</s:t>
  </s:si>
  <s:si>
    <s:t>Решения для компьютерного зрения и оптического распознавания</s:t>
  </s:si>
  <s:si>
    <s:t xml:space="preserve">Отдел качества и автоматизации процессов разработки </s:t>
  </s:si>
  <s:si>
    <s:t xml:space="preserve">Отдел сопровождения </s:t>
  </s:si>
  <s:si>
    <s:t>Системы поддержки принятия решений</s:t>
  </s:si>
  <s:si>
    <s:t>Аналитическая платформа данных</s:t>
  </s:si>
  <s:si>
    <s:t>Транспортный консалтинг</s:t>
  </s:si>
  <s:si>
    <s:t>Продукты данных</s:t>
  </s:si>
  <s:si>
    <s:t>2.   Финансовые показатели проекта по этапам</s:t>
  </s:si>
  <s:si>
    <s:t>3.   Финансовые показатели проекта по Подразделениям</s:t>
  </s:si>
  <s:si>
    <s:t>Дивизион продуктового развития ИИ</s:t>
  </s:si>
  <s:si>
    <s:t>Сайбокс_Домен ИИ</s:t>
  </s:si>
  <s:si>
    <s:t>Мирион_Домен ИИ</s:t>
  </s:si>
  <s:si>
    <s:t>Интеллектуальный анализ документов_Домен ИИ</s:t>
  </s:si>
  <s:si>
    <s:t>Криптоанклав_Домен ИИ</s:t>
  </s:si>
  <s:si>
    <s:t>Платформа цифровизации маркетинга_Домен ИИ</s:t>
  </s:si>
  <s:si>
    <s:t>Цифровой ассистент_Домен ИИ</s:t>
  </s:si>
  <s:si>
    <s:t>Интеллектуальный анализ событий_Домен ИИ</s:t>
  </s:si>
  <s:si>
    <s:t>ИИ для поддержки_Домен ИИ</s:t>
  </s:si>
  <s:si>
    <s:t xml:space="preserve">Ассистенты для команд разработки_Домен ИИ   </s:t>
  </s:si>
  <s:si>
    <s:t>5. Sales Grade</s:t>
  </s:si>
  <s:si>
    <s:t>4. Sales Grade</s:t>
  </s:si>
  <s:si>
    <s:t>3. Sales Grade</s:t>
  </s:si>
  <s:si>
    <s:t>2. Sales Grade</s:t>
  </s:si>
  <s:si>
    <s:t>1. Sales Grade</s:t>
  </s:si>
  <s:si>
    <s:t>Проектный офис</s:t>
  </s:si>
  <s:si>
    <s:t>Группа корпоративной архитектуры_Домен ИИ</s:t>
  </s:si>
  <s:si>
    <s:t>Группа отраслевой аналитики_Домен ИИ</s:t>
  </s:si>
  <s:si>
    <s:t>Департамент продаж</s:t>
  </s:si>
  <s:si>
    <s:t>6. Sales Grade</s:t>
  </s:si>
  <s:si>
    <s:t>17-18 кадровый грейд</s:t>
  </s:si>
  <s:si>
    <s:t>16 кадровый грейд</s:t>
  </s:si>
  <s:si>
    <s:t>15 кадровый грейд</s:t>
  </s:si>
  <s:si>
    <s:t>14 кадровый грейд</s:t>
  </s:si>
  <s:si>
    <s:t>13 кадровый грейд</s:t>
  </s:si>
  <s:si>
    <s:t>10-12 кадровый грейд</s:t>
  </s:si>
  <s:si>
    <s:r>
      <s:t>Кадровый грейд</s:t>
    </s:r>
    <s:r>
      <s:rPr>
        <s:rFont val="Arial Cyr"/>
        <s:sz val="9"/>
      </s:rPr>
      <s:t xml:space="preserve"> (справочное соответствие)</s:t>
    </s:r>
  </s:si>
  <s:si>
    <s:t>Наименование работы</s:t>
  </s:si>
  <s:si>
    <s:t>Результат</s:t>
  </s:si>
  <s:si>
    <s:t>Итого, ЧД</s:t>
  </s:si>
  <s:si>
    <s:t>Аналитик</s:t>
  </s:si>
  <s:si>
    <s:t xml:space="preserve">Аналитик </s:t>
  </s:si>
  <s:si>
    <s:t xml:space="preserve">Ведуший разработчик </s:t>
  </s:si>
  <s:si>
    <s:t xml:space="preserve">Разработчик </s:t>
  </s:si>
  <s:si>
    <s:t>Администратор СУБД</s:t>
  </s:si>
  <s:si>
    <s:t>Инженер DevOps</s:t>
  </s:si>
  <s:si>
    <s:t>Архитектор  решения</s:t>
  </s:si>
  <s:si>
    <s:t>PM</s:t>
  </s:si>
  <s:si>
    <s:t>Длительность , недель</s:t>
  </s:si>
  <s:si>
    <s:t>M1</s:t>
  </s:si>
  <s:si>
    <s:t>M2</s:t>
  </s:si>
  <s:si>
    <s:t>M3</s:t>
  </s:si>
  <s:si>
    <s:t>M4</s:t>
  </s:si>
  <s:si>
    <s:t>M5</s:t>
  </s:si>
  <s:si>
    <s:t>M6</s:t>
  </s:si>
  <s:si>
    <s:t>M7</s:t>
  </s:si>
  <s:si>
    <s:t>M8</s:t>
  </s:si>
  <s:si>
    <s:t>M9</s:t>
  </s:si>
  <s:si>
    <s:t>M10</s:t>
  </s:si>
  <s:si>
    <s:t>M11</s:t>
  </s:si>
  <s:si>
    <s:t>M12</s:t>
  </s:si>
  <s:si>
    <s:t>Ставка внешняя</s:t>
  </s:si>
  <s:si>
    <s:t>Процент увеличения</s:t>
  </s:si>
  <s:si>
    <s:t>ч.д.</s:t>
  </s:si>
  <s:si>
    <s:t>Стоимость, руб без НДС</s:t>
  </s:si>
  <s:si>
    <s:t>Итого выручка</s:t>
  </s:si>
  <s:si>
    <s:t>Итого чд</s:t>
  </s:si>
  <s:si>
    <s:t xml:space="preserve">Разработка вернеуровневой архитектуры и установка </s:t>
  </s:si>
  <s:si>
    <s:t>Подготовка к миграции</s:t>
  </s:si>
  <s:si>
    <s:t>Миграция</s:t>
  </s:si>
  <s:si>
    <s:t>Функциональное тестирование</s:t>
  </s:si>
  <s:si>
    <s:t>ПСИ</s:t>
  </s:si>
  <s:si>
    <s:t>Управленческое подразделение  2-го уровня</s:t>
  </s:si>
  <s:si>
    <s:t>Управленческое подразделение  3-го уровня</s:t>
  </s:si>
  <s:si>
    <s:t>Управленческое подразделение  4-го уровня</s:t>
  </s:si>
  <s:si>
    <s:t>Управленческое подразделение  5-го уровня</s:t>
  </s:si>
  <s:si>
    <s:t>Искусственный интеллект</s:t>
  </s:si>
  <s:si>
    <s:t>Центр архитектуры данных</s:t>
  </s:si>
  <s:si>
    <s:t>Центр решений бизнес-аналитики, планирования и отчетности</s:t>
  </s:si>
  <s:si>
    <s:t>Центр технологического развития продуктов данных</s:t>
  </s:si>
  <s:si>
    <s:t>Транспортная интеграция</s:t>
  </s:si>
  <s:si>
    <s:t>Отдел сопровождения</s:t>
  </s:si>
  <s:si>
    <s:t>Отдел качества и автоматизации процессов разработки</s:t>
  </s:si>
  <s:si>
    <s:t>Центр разработки алгоритмов машинного обучения</s:t>
  </s:si>
  <s:si>
    <s:t>Разработка модельных сервисов</s:t>
  </s:si>
  <s:si>
    <s:t>Предиктивная аналитика и прогнозирование</s:t>
  </s:si>
  <s:si>
    <s:t>Имитационное моделирование и обучение с подкреплением</s:t>
  </s:si>
  <s:si>
    <s:t>Дивизион продуктового развития</s:t>
  </s:si>
  <s:si>
    <s:t>Центр продуктового и стратегического развития</s:t>
  </s:si>
  <s:si>
    <s:t>Группа корпоративной архитектуры</s:t>
  </s:si>
  <s:si>
    <s:t>Группа бизнес-консалтинга и отраслевой экспертизы</s:t>
  </s:si>
  <s:si>
    <s:t>Продуктовый стрим «Продукты искусственного интеллекта»</s:t>
  </s:si>
  <s:si>
    <s:t>Сайбокс</s:t>
  </s:si>
  <s:si>
    <s:t>Мирион</s:t>
  </s:si>
  <s:si>
    <s:t>Интеллектуальный анализ документов</s:t>
  </s:si>
  <s:si>
    <s:t>Криптоанклав</s:t>
  </s:si>
  <s:si>
    <s:t>Клиентская платформа Т1</s:t>
  </s:si>
  <s:si>
    <s:t>Цифровой ассистент</s:t>
  </s:si>
  <s:si>
    <s:t>Интеллектуальный анализ событий</s:t>
  </s:si>
  <s:si>
    <s:t>ИИ для поддержки</s:t>
  </s:si>
  <s:si>
    <s:t>Департамент продаж ИИ</s:t>
  </s:si>
  <s:si>
    <s:t>Кем заполняется</s:t>
  </s:si>
  <s:si>
    <s:t>Тема вопроса</s:t>
  </s:si>
  <s:si>
    <s:t>Вопрос</s:t>
  </s:si>
  <s:si>
    <s:t>Ком</s:t>
  </s:si>
  <s:si>
    <s:t>Ответ</s:t>
  </s:si>
  <s:si>
    <s:t>Заполняется заказчиком</s:t>
  </s:si>
  <s:si>
    <s:t>Определить заказчика и инвестора проекта</s:t>
  </s:si>
  <s:si>
    <s:t>Инвестор</s:t>
  </s:si>
  <s:si>
    <s:t>Например, в Банке А инвестор проекта совет председателей. Заказчик - Департамент Бухгалтерии. Пользователи системы – ключевые пользователи бухгалтерии разных департаментов учёта. Финансовая цель инвестора – сделать бухгалтерский учёт прозрачным, точным и получать оперативные показатели и отчёты в реальном времени.</s:t>
  </s:si>
  <s:si>
    <s:t>Заказчик (Бенифициар)</s:t>
  </s:si>
  <s:si>
    <s:t>Пользователи (Бизнес роль, аудитория):</s:t>
  </s:si>
  <s:si>
    <s:t>Какие финансовые цели инвестора</s:t>
  </s:si>
  <s:si>
    <s:t>Цель проекта</s:t>
  </s:si>
  <s:si>
    <s:t>Основная задача</s:t>
  </s:si>
  <s:si>
    <s:t>Например: Отслеживание и определение траектории движения посетителей внутри автосалона.</s:t>
  </s:si>
  <s:si>
    <s:t>Постановка задачи</s:t>
  </s:si>
  <s:si>
    <s:t>Необходимо определить постановку задачи, какой ход выполнения проекта, какую работу необходимо провести. Например: трекинг посетителей от входа до выхода для гарантированно однократного учета каждого клиента.</s:t>
  </s:si>
  <s:si>
    <s:t>Конечная цель</s:t>
  </s:si>
  <s:si>
    <s:t>Что является конечной целью
Например: Ежедневный расчет количества уникальных посетителей в разрезе зон.</s:t>
  </s:si>
  <s:si>
    <s:t>Критерии успешности проекта</s:t>
  </s:si>
  <s:si>
    <s:t>Понять конечную цель проекта, и что является критерием успешности выполнения проекта или метрики (какое численное изменение, имеющее смысл с бизнес-точки зрения, мы планируем получить), которые требуется добиться. Например: точность детекции людей на входе в автосалон - 98%, точность разделения людей на сотрудников и посетителей - 80%.</s:t>
  </s:si>
  <s:si>
    <s:t>Сроки проекта</s:t>
  </s:si>
  <s:si>
    <s:t>Оценить реальные сроки с учётом сезонности, времени и праздничных дней. В период закрытия или в конце года нежелательно проводить тестирование и ОПЭ. Также необходимо учитывать реальные ресурсы и возможности исполнителя. Иногда, физически невозможно реализовать проект в указанный срок и его нужно переносить.</s:t>
  </s:si>
  <s:si>
    <s:t>Заполняется совместно с Заказчиком и Исполнителем</s:t>
  </s:si>
  <s:si>
    <s:t>Анализ исходных данных</s:t>
  </s:si>
  <s:si>
    <s:t>Объём и характеристики исходных данных.</s:t>
  </s:si>
  <s:si>
    <s:t>Оценить объём исходных данных и их характеристики. Например: табличне данные, неструктурированных данных, структуры данных, типы переменных и формат. Количество и сложность данных, необходимых для обучения и поддержки моделей ИИ, существенно влияет на стоимость проекта.</s:t>
  </s:si>
  <s:si>
    <s:t>Качество достаточности и валидации данных</s:t>
  </s:si>
  <s:si>
    <s:t>(Опционально)
Наличие ошибок, пропусков, дубликатов, аномалий или несоответствий. Если данные требуют очистки, нормализации или других процессов, это может повлиять на трудоемкость проекта.
Если у нас исходных данных нет или они плохие, а мы собираемся строить на них модель ML, то от проекта лучше отказаться или необходимо привлекать субподрядчиков. Возможно покупка и поиск дополнительных данных.</s:t>
  </s:si>
  <s:si>
    <s:t>Возможность купить дополнительные или использовать публичные данные</s:t>
  </s:si>
  <s:si>
    <s:t>(Опционально)</s:t>
  </s:si>
  <s:si>
    <s:t xml:space="preserve">Провести анализ исходных данных на предмет их качества разметки </s:t>
  </s:si>
  <s:si>
    <s:t>Процесс добавления тэгов в сырые данные, с целью показать моделе машинного обучения целевые атрибуты (ответы), которые она должна предсказывать.</s:t>
  </s:si>
  <s:si>
    <s:t>Драйверы</s:t>
  </s:si>
  <s:si>
    <s:t>Количество предполагаемых моделей</s:t>
  </s:si>
  <s:si>
    <s:t>(Опционально) Количество, тип и сложность модели.</s:t>
  </s:si>
  <s:si>
    <s:t>Источники данных</s:t>
  </s:si>
  <s:si>
    <s:t>Источники данных, их количество в инфраструктуре и способы их сбора</s:t>
  </s:si>
  <s:si>
    <s:t xml:space="preserve">Бизнес-домены.
</s:t>
  </s:si>
  <s:si>
    <s:t>Какие бизнес области входят в рамки проекта (закупки, финансы, производство, и тп)</s:t>
  </s:si>
  <s:si>
    <s:t>WorkFlow</s:t>
  </s:si>
  <s:si>
    <s:t>Количество WorkFlow процессов</s:t>
  </s:si>
  <s:si>
    <s:t>Заполняется Исполнителем</s:t>
  </s:si>
  <s:si>
    <s:t>Техническая инфраструктура проекта</s:t>
  </s:si>
  <s:si>
    <s:t xml:space="preserve">Технические характеристики и стеки технологий </s:t>
  </s:si>
  <s:si>
    <s:t xml:space="preserve">если есть предпочтения и варианты предложений. В каких контурах осуществляется разработка, тестирование и пром использование. </s:t>
  </s:si>
  <s:si>
    <s:t>Определить, какие это будут мощности</s:t>
  </s:si>
  <s:si>
    <s:t>В разрезе сред разработки, тестирования, продуктива.
Облако (Вид подписки: прерываемая, непрерываемая) или ОнПремайс (Ответственность по предоставлению доступа к ресурсам лежит на исполнителе).</s:t>
  </s:si>
  <s:si>
    <s:t>Технические характеристики системы для машинного обучения</s:t>
  </s:si>
  <s:si>
    <s:t>В разрезе сред разработки, тестирования, продуктива.
Указать по порядку: CPU, GPU, RAM, SSD.
Видеокарты по возрастанию мощности: Tesla V100, A100, H100
Средние характеристики: CPU - 64 Core, GPU – 2* A100, RAM - 128 Gb, SSD - 2 Tb.</s:t>
  </s:si>
  <s:si>
    <s:t xml:space="preserve">Среда объектного хранилища </s:t>
  </s:si>
  <s:si>
    <s:t xml:space="preserve">Например, S3 (от Amazon), S3 Like, Google Cloud. </s:t>
  </s:si>
  <s:si>
    <s:t>Набор инструментов для управления моделями машинного обучения</s:t>
  </s:si>
  <s:si>
    <s:t>Mlops инструменты. Например: ClearML</s:t>
  </s:si>
  <s:si>
    <s:t>Платформа для размети/управления данными для машинного обучения</s:t>
  </s:si>
  <s:si>
    <s:t>Например: Label Studio</s:t>
  </s:si>
  <s:si>
    <s:t xml:space="preserve">Система для управления версионностью </s:t>
  </s:si>
  <s:si>
    <s:t xml:space="preserve">Например: GIT и его аналоги. Принадлежит MS, возможно привлечение своих аналогов/репозитариев. </s:t>
  </s:si>
  <s:si>
    <s:t>Среда разработки</s:t>
  </s:si>
  <s:si>
    <s:t>Например: JupyterHub/JupyterLab или заказчик сам предоставляет среду.</s:t>
  </s:si>
  <s:si>
    <s:t>Процесс добавления тэгов в сырые данные, чтобы показать моделе машинного обучения целевые атрибуты (ответы), которые она должна предсказывать.</s:t>
  </s:si>
  <s:si>
    <s:t>Типы моделей и алгоритмы</s:t>
  </s:si>
  <s:si>
    <s:t>(если применимо на данном этапе). Использование сложных алгоритмов и моделей, таких как нейронные сети глубокого обучения, может требовать более высоких затрат на обучение и интеграцию.</s:t>
  </s:si>
  <s:si>
    <s:t>Выбор фреймворков</s:t>
  </s:si>
  <s:si>
    <s:t>(если применимо на данном этапе)
Например: PyTorch, TensorFlow</s:t>
  </s:si>
  <s:si>
    <s:t>Дополнительно оборудование</s:t>
  </s:si>
  <s:si>
    <s:t>Оборудование, которые может понадобиться для осуществления проекта. Например: камера, датчики, сенсоры.</s:t>
  </s:si>
  <s:si>
    <s:t>Статья затрат</s:t>
  </s:si>
  <s:si>
    <s:t>Параметры</s:t>
  </s:si>
  <s:si>
    <s:t>Стоимость Без НДС</s:t>
  </s:si>
  <s:si>
    <s:t>Стоимость С НДС</s:t>
  </s:si>
  <s:si>
    <s:t>Маржа</s:t>
  </s:si>
  <s:si>
    <s:t>Комментарий</s:t>
  </s:si>
  <s:si>
    <s:t>aCRM</s:t>
  </s:si>
  <s:si>
    <s:t>Внедрение</s:t>
  </s:si>
  <s:si>
    <s:t>Пакетный маркетинг</s:t>
  </s:si>
  <s:si>
    <s:t>Количество кампаний: 10 кампаний
Количество пользователей: более 50 млн
Средний размер сегментов: в зависимости от информационного канала от 50 тыс. до 2 млн
редний размер контрольной группы: в зависимости от информационного канала.</s:t>
  </s:si>
  <s:si>
    <s:t>Лицензия</s:t>
  </s:si>
  <s:si>
    <s:t>Пакетный маркетинг. Клиентская база анлим</s:t>
  </s:si>
  <s:si>
    <s:t xml:space="preserve">Kore.DWH </s:t>
  </s:si>
  <s:si>
    <s:t>Инсталляция и внедрение</s:t>
  </s:si>
  <s:si>
    <s:t>Риски и ГП не заложены</s:t>
  </s:si>
  <s:si>
    <s:t>бессрочная лицензия на базовый пакет</s:t>
  </s:si>
  <s:si>
    <s:t>Лицензируется по провайдерам ресурсов
Лицензии: 5 млн – бессрочная лицензия на базовый пакет</s:t>
  </s:si>
  <s:si>
    <s:t>Нормализатор</s:t>
  </s:si>
  <s:si>
    <s:t>Лицензируется по количеству процедур
Лицензии: 7 млн – бессрочная лицензия на базовый пакет</s:t>
  </s:si>
  <s:si>
    <s:t>BI</s:t>
  </s:si>
  <s:si>
    <s:t>PIX BI</s:t>
  </s:si>
  <s:si>
    <s:t xml:space="preserve">Лицензия </s:t>
  </s:si>
  <s:si>
    <s:t>5 Пользователи PRO
25 Пользователи BASE</s:t>
  </s:si>
  <s:si>
    <s:t xml:space="preserve">Поддержка </s:t>
  </s:si>
  <s:si>
    <s:t>1 год</s:t>
  </s:si>
  <s:si>
    <s:t>Поля для редактирования</s:t>
  </s:si>
  <s:si>
    <s:t>CV + интеграция</s:t>
  </s:si>
  <s:si>
    <s:t>Наименование работы \ Месяц</s:t>
  </s:si>
  <s:si>
    <s:t>Длительность
недель</s:t>
  </s:si>
  <s:si>
    <s:t>М1</s:t>
  </s:si>
  <s:si>
    <s:t>М2</s:t>
  </s:si>
  <s:si>
    <s:t>М3</s:t>
  </s:si>
  <s:si>
    <s:t>М4</s:t>
  </s:si>
  <s:si>
    <s:t>М5</s:t>
  </s:si>
  <s:si>
    <s:t>М6</s:t>
  </s:si>
  <s:si>
    <s:t>М7</s:t>
  </s:si>
  <s:si>
    <s:t>М8</s:t>
  </s:si>
  <s:si>
    <s:t>М9</s:t>
  </s:si>
  <s:si>
    <s:t>М10</s:t>
  </s:si>
  <s:si>
    <s:t>М11</s:t>
  </s:si>
  <s:si>
    <s:t>Инфраструктура</s:t>
  </s:si>
  <s:si>
    <s:t>CV</s:t>
  </s:si>
  <s:si>
    <s:t>Интеграция (UI)</s:t>
  </s:si>
  <s:si>
    <s:t>Завершение проекта</s:t>
  </s:si>
  <s:si>
    <s:t>ИТОГО:</s:t>
  </s:si>
  <s:si>
    <s:t>Анализ, проектирование</s:t>
  </s:si>
  <s:si>
    <s:t>Разработка и тестирование интеграции</s:t>
  </s:si>
  <s:si>
    <s:t>Разработка и тестирование CV</s:t>
  </s:si>
  <s:si>
    <s:t>Общая длительность:</s:t>
  </s:si>
  <s:si>
    <s:t>aCRM. БАТЧ + BI</s:t>
  </s:si>
  <s:si>
    <s:t>М12</s:t>
  </s:si>
  <s:si>
    <s:t>Анализ aCRM</s:t>
  </s:si>
  <s:si>
    <s:t xml:space="preserve">Внедрение Kore.DWH </s:t>
  </s:si>
  <s:si>
    <s:t>Внедрение Нормализатора</s:t>
  </s:si>
  <s:si>
    <s:t>Анализ BI</s:t>
  </s:si>
  <s:si>
    <s:t>Проектирование BI</s:t>
  </s:si>
  <s:si>
    <s:t>Внедрение BI</s:t>
  </s:si>
  <s:si>
    <s:t>Ввод в эксплуатацию BI</s:t>
  </s:si>
  <s:si>
    <s:t>Проектирование aCRM</s:t>
  </s:si>
  <s:si>
    <s:t>Внедрение aCRM</s:t>
  </s:si>
  <s:si>
    <s:t>Ввод в эксплуатацию aCRM</s:t>
  </s:si>
  <s:si>
    <s:t>BI график проекта</s:t>
  </s:si>
  <s:si>
    <s:t>Внутренние ставки по грейдам на 2024</s:t>
  </s:si>
  <s:si>
    <s:t>Внешние ставки по грейдам на 2024 (Письмо от Рубановой от 22.03.24)</s:t>
  </s:si>
  <s:si>
    <s:t>Грейд</s:t>
  </s:si>
  <s:si>
    <s:t>ч/ч</s:t>
  </s:si>
  <s:si>
    <s:t>К1</s:t>
  </s:si>
  <s:si>
    <s:t>К2</s:t>
  </s:si>
  <s:si>
    <s:t>К3</s:t>
  </s:si>
  <s:si>
    <s:t>К4</s:t>
  </s:si>
  <s:si>
    <s:t>К5</s:t>
  </s:si>
  <s:si>
    <s:t>Ставки по грейдам на 2025 (+ 10% от 2024 года)</s:t>
  </s:si>
  <s:si>
    <s:t>Внутренние</s:t>
  </s:si>
  <s:si>
    <s:t>Внешние</s:t>
  </s:si>
  <s:si>
    <s:t>ставки по грейдам на 2025 (+ 5% от 2024 года)</s:t>
  </s:si>
  <s:si>
    <s:t xml:space="preserve">Внешние </s:t>
  </s:si>
  <s:si>
    <s:t>Осипов Алексей Владимирович</s:t>
  </s:si>
  <s:si>
    <s:t>Длительность 13 мес.</s:t>
  </s:si>
  <s:si>
    <s:t>ПРЕ</s:t>
  </s:si>
  <s:si>
    <s:t>Риски</s:t>
  </s:si>
  <s:si>
    <s:t>ГарантПод</s:t>
  </s:si>
  <s:si>
    <s:t>РП</s:t>
  </s:si>
  <s:si>
    <s:t>=СУММЕСЛИ(Диапазон всех ролей и трудозатрат;Роль;Диапазаон всех трудозатрат)*коэф-нт</s:t>
  </s:si>
  <s:si>
    <s:t>Определить, какие и чьи это будут мощности</s:t>
  </s:si>
  <s:si>
    <s:t>Требуется ли дозакупить оборудование</s:t>
  </s:si>
  <s:si>
    <s:t>Достаточно ли мощностей, если "нет" до необходимо докупить.</s:t>
  </s:si>
  <s:si>
    <s:t>Для ИИ</s:t>
  </s:si>
  <s:si>
    <s:t>Для каждого проекта, продукта, услуги свои драйверы, которые влияют на трудозатраты.</s:t>
  </s:si>
  <s:si>
    <s:t>Загрузка в процентах</s:t>
  </s:si>
  <s:si>
    <s:t>Длит. Проекат</s:t>
  </s:si>
  <s:si>
    <s:t>Формула для надбавки Рисков, ГарПод и РП</s:t>
  </s:si>
  <s:si>
    <s:t>Включает в себя работы по проекту, лицензию на 1 год и гарантийную поддержку на 1 год.</s:t>
  </s:si>
  <s:si>
    <s:t xml:space="preserve">без учета инфраструктуры и технической поддержки
</s:t>
  </s:si>
  <s:si>
    <s:t>Вставить в презентацию или удалить</s:t>
  </s:si>
</s:sst>
</file>

<file path=xl/styles.xml><?xml version="1.0" encoding="utf-8"?>
<s:styleSheet xmlns:xr="http://schemas.microsoft.com/office/spreadsheetml/2014/revision" xmlns:mc="http://schemas.openxmlformats.org/markup-compatibility/2006" xmlns:s="http://schemas.openxmlformats.org/spreadsheetml/2006/main" xmlns:vyd="http://volga.yandex.com/schemas/document/model" xmlns:unk1="http://schemas.microsoft.com/office/spreadsheetml/2010/11/main" xmlns:x16r2="http://schemas.microsoft.com/office/spreadsheetml/2015/02/main" xmlns:x14ac="http://schemas.microsoft.com/office/spreadsheetml/2009/9/ac" xmlns:x14="http://schemas.microsoft.com/office/spreadsheetml/2009/9/main" mc:Ignorable="x14ac x16r2 xr">
  <s:numFmts count="14">
    <s:numFmt numFmtId="43" formatCode="_-* #,##0.00\ _₽_-;\-* #,##0.00\ _₽_-;_-* &quot;-&quot;??\ _₽_-;_-@_-"/>
    <s:numFmt numFmtId="164" formatCode="#,##0\ [$USD];\-#,##0\ [$USD]"/>
    <s:numFmt numFmtId="165" formatCode="_-* #,##0.00_р_._-;\-* #,##0.00_р_._-;_-* &quot;-&quot;??_р_._-;_-@_-"/>
    <s:numFmt numFmtId="166" formatCode="_-* #,##0.00&quot;р.&quot;_-;\-* #,##0.00&quot;р.&quot;_-;_-* &quot;-&quot;??&quot;р.&quot;_-;_-@_-"/>
    <s:numFmt numFmtId="167" formatCode="#,##0.00\ &quot;₽&quot;"/>
    <s:numFmt numFmtId="168" formatCode="#,##0\ [$RUR];\-#,##0\ [$RUR]"/>
    <s:numFmt numFmtId="169" formatCode="#,##0_р_."/>
    <s:numFmt numFmtId="170" formatCode="#,##0.00\ &quot;€&quot;"/>
    <s:numFmt numFmtId="171" formatCode="#,##0&quot;р.&quot;"/>
    <s:numFmt numFmtId="172" formatCode="#,##0;\(#,##0\);\-"/>
    <s:numFmt numFmtId="173" formatCode="0.0%"/>
    <s:numFmt numFmtId="174" formatCode="_(* #,##0.00_);_(* \(#,##0.00\);_(* &quot;-&quot;??_);_(@_)"/>
    <s:numFmt numFmtId="175" formatCode="_(* #,##0_);_(* \(#,##0\);_(* &quot;-&quot;??_);_(@_)"/>
    <s:numFmt numFmtId="176" formatCode="#,##0.00_р_."/>
  </s:numFmts>
  <s:fonts count="54">
    <s:font>
      <s:name val="Arial Cyr"/>
      <s:color theme="1"/>
      <s:sz val="10"/>
    </s:font>
    <s:font>
      <s:name val="Calibri"/>
      <s:charset val="204"/>
      <s:family val="2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Arial"/>
      <s:charset val="204"/>
      <s:family val="2"/>
      <s:sz val="6.5"/>
    </s:font>
    <s:font>
      <s:name val="Calibri"/>
      <s:charset val="204"/>
      <s:family val="2"/>
      <s:color theme="1"/>
      <s:sz val="11"/>
      <s:scheme val="minor"/>
    </s:font>
    <s:font>
      <s:name val="Arial Black"/>
      <s:charset val="204"/>
      <s:family val="2"/>
      <s:sz val="24"/>
    </s:font>
    <s:font>
      <s:name val="Arial"/>
      <s:charset val="204"/>
      <s:family val="2"/>
      <s:b val="1"/>
      <s:sz val="10"/>
    </s:font>
    <s:font>
      <s:name val="Arial Cyr"/>
      <s:sz val="10"/>
    </s:font>
    <s:font>
      <s:name val="FrizQuaT"/>
      <s:sz val="9"/>
    </s:font>
    <s:font>
      <s:name val="Helvetica"/>
      <s:family val="2"/>
      <s:b val="1"/>
      <s:sz val="12"/>
    </s:font>
    <s:font>
      <s:name val="Arial"/>
      <s:charset val="204"/>
      <s:family val="2"/>
      <s:sz val="10"/>
    </s:font>
    <s:font>
      <s:name val="Arial"/>
      <s:charset val="204"/>
      <s:family val="2"/>
      <s:b val="1"/>
      <s:color indexed="4"/>
      <s:sz val="10"/>
    </s:font>
    <s:font>
      <s:name val="Helvetica"/>
      <s:family val="2"/>
      <s:sz val="9"/>
    </s:font>
    <s:font>
      <s:name val="Arial Cyr"/>
      <s:sz val="9"/>
    </s:font>
    <s:font>
      <s:name val="Arial Cyr"/>
      <s:b val="1"/>
      <s:sz val="10"/>
    </s:font>
    <s:font>
      <s:name val="Arial Cyr"/>
      <s:b val="1"/>
      <s:sz val="9"/>
    </s:font>
    <s:font>
      <s:name val="Arial"/>
      <s:charset val="204"/>
      <s:family val="2"/>
      <s:sz val="9"/>
    </s:font>
    <s:font>
      <s:name val="FrizQuaT"/>
      <s:b val="1"/>
      <s:sz val="9"/>
    </s:font>
    <s:font>
      <s:name val="Arial Cyr"/>
      <s:b val="1"/>
      <s:sz val="8"/>
    </s:font>
    <s:font>
      <s:name val="Helvetica"/>
      <s:family val="2"/>
      <s:i val="1"/>
      <s:sz val="9"/>
    </s:font>
    <s:font>
      <s:name val="Arial"/>
      <s:charset val="204"/>
      <s:family val="2"/>
      <s:b val="1"/>
      <s:sz val="12"/>
    </s:font>
    <s:font>
      <s:name val="Arial"/>
      <s:charset val="204"/>
      <s:family val="2"/>
      <s:b val="1"/>
      <s:sz val="9"/>
    </s:font>
    <s:font>
      <s:name val="Arial"/>
      <s:charset val="204"/>
      <s:family val="2"/>
      <s:b val="1"/>
      <s:sz val="11"/>
    </s:font>
    <s:font>
      <s:name val="Arial"/>
      <s:charset val="204"/>
      <s:family val="2"/>
      <s:i val="1"/>
      <s:sz val="9"/>
    </s:font>
    <s:font>
      <s:name val="Arial"/>
      <s:charset val="204"/>
      <s:family val="2"/>
      <s:b val="1"/>
      <s:i val="1"/>
      <s:sz val="9"/>
    </s:font>
    <s:font>
      <s:name val="Arial"/>
      <s:charset val="204"/>
      <s:family val="2"/>
      <s:sz val="9"/>
      <s:u val="single"/>
    </s:font>
    <s:font>
      <s:name val="Arial"/>
      <s:charset val="204"/>
      <s:family val="2"/>
      <s:sz val="8"/>
    </s:font>
    <s:font>
      <s:name val="Arial Cyr"/>
      <s:sz val="8"/>
    </s:font>
    <s:font>
      <s:name val="Arial Cyr"/>
      <s:b val="1"/>
      <s:sz val="11"/>
    </s:font>
    <s:font>
      <s:name val="Arial"/>
      <s:charset val="204"/>
      <s:family val="2"/>
      <s:b val="1"/>
      <s:sz val="8"/>
    </s:font>
    <s:font>
      <s:name val="Arial Cyr"/>
      <s:sz val="11"/>
    </s:font>
    <s:font>
      <s:name val="FrizQuaT"/>
      <s:i val="1"/>
      <s:sz val="9"/>
    </s:font>
    <s:font>
      <s:name val="Arial Cyr"/>
      <s:i val="1"/>
      <s:color theme="1"/>
      <s:sz val="10"/>
    </s:font>
    <s:font>
      <s:name val="Arial Cyr"/>
      <s:i val="1"/>
      <s:sz val="9"/>
    </s:font>
    <s:font>
      <s:name val="FrizQuaT"/>
      <s:b val="1"/>
      <s:i val="1"/>
      <s:sz val="9"/>
    </s:font>
    <s:font>
      <s:name val="Arial Cyr"/>
      <s:b val="1"/>
      <s:i val="1"/>
      <s:color theme="1"/>
      <s:sz val="10"/>
    </s:font>
    <s:font>
      <s:name val="Arial Cyr"/>
      <s:b val="1"/>
      <s:i val="1"/>
      <s:sz val="9"/>
    </s:font>
    <s:font>
      <s:name val="Calibri"/>
      <s:family val="2"/>
      <s:color theme="1"/>
      <s:sz val="11"/>
      <s:scheme val="minor"/>
    </s:font>
    <s:font>
      <s:name val="Arial"/>
      <s:family val="2"/>
      <s:b val="1"/>
      <s:color indexed="65"/>
      <s:sz val="9"/>
    </s:font>
    <s:font>
      <s:name val="Times New Roman"/>
      <s:charset val="204"/>
      <s:family val="1"/>
      <s:b val="1"/>
      <s:color indexed="8"/>
      <s:sz val="8"/>
    </s:font>
    <s:font>
      <s:name val="Arial"/>
      <s:charset val="204"/>
      <s:family val="2"/>
      <s:b val="1"/>
      <s:color indexed="65"/>
      <s:sz val="9"/>
    </s:font>
    <s:font>
      <s:name val="Arial"/>
      <s:family val="2"/>
      <s:color theme="1"/>
      <s:sz val="10"/>
    </s:font>
    <s:font>
      <s:name val="Arial"/>
      <s:family val="2"/>
      <s:b val="1"/>
      <s:color theme="1"/>
      <s:sz val="11"/>
    </s:font>
    <s:font>
      <s:name val="Arial"/>
      <s:charset val="204"/>
      <s:family val="2"/>
      <s:b val="1"/>
      <s:color theme="1"/>
      <s:sz val="6"/>
    </s:font>
    <s:font>
      <s:name val="Arial"/>
      <s:family val="2"/>
      <s:b val="1"/>
      <s:sz val="9"/>
    </s:font>
    <s:font>
      <s:name val="Arial"/>
      <s:family val="2"/>
      <s:b val="1"/>
      <s:color theme="1"/>
      <s:sz val="9"/>
    </s:font>
    <s:font>
      <s:name val="Arial"/>
      <s:family val="2"/>
      <s:color theme="1"/>
      <s:sz val="9"/>
    </s:font>
    <s:font>
      <s:name val="Arial"/>
      <s:charset val="204"/>
      <s:family val="2"/>
      <s:color theme="1"/>
      <s:sz val="9"/>
    </s:font>
    <s:font>
      <s:name val="Arial"/>
      <s:family val="2"/>
      <s:sz val="9"/>
    </s:font>
    <s:font>
      <s:name val="Arial"/>
      <s:family val="2"/>
      <s:b val="1"/>
      <s:color theme="4" tint="0.8"/>
      <s:sz val="9"/>
    </s:font>
    <s:font>
      <s:name val="Calibri"/>
      <s:charset val="204"/>
      <s:family val="2"/>
      <s:b val="1"/>
      <s:color theme="1"/>
      <s:sz val="11"/>
      <s:scheme val="minor"/>
    </s:font>
    <s:font>
      <s:name val="Calibri"/>
      <s:charset val="204"/>
      <s:family val="2"/>
      <s:b val="1"/>
      <s:color theme="1"/>
      <s:sz val="14"/>
      <s:scheme val="minor"/>
    </s:font>
    <s:font>
      <s:name val="Calibri"/>
      <s:charset val="204"/>
      <s:family val="2"/>
      <s:b val="1"/>
      <s:color theme="1"/>
      <s:sz val="12"/>
      <s:scheme val="minor"/>
    </s:font>
    <s:font>
      <s:name val="Calibri"/>
      <s:charset val="204"/>
      <s:family val="2"/>
      <s:b val="1"/>
      <s:color rgb="FF00B0F0"/>
      <s:sz val="11"/>
      <s:scheme val="minor"/>
    </s:font>
  </s:fonts>
  <s:fills count="39">
    <s:fill>
      <s:patternFill patternType="none"/>
    </s:fill>
    <s:fill>
      <s:patternFill patternType="gray125"/>
    </s:fill>
    <s:fill>
      <s:patternFill patternType="solid">
        <s:fgColor theme="6" tint="0.6"/>
        <s:bgColor theme="6" tint="0.6"/>
      </s:patternFill>
    </s:fill>
    <s:fill>
      <s:patternFill patternType="solid">
        <s:fgColor indexed="5"/>
        <s:bgColor indexed="5"/>
      </s:patternFill>
    </s:fill>
    <s:fill>
      <s:patternFill patternType="solid">
        <s:fgColor theme="6" tint="0.8"/>
        <s:bgColor theme="6" tint="0.8"/>
      </s:patternFill>
    </s:fill>
    <s:fill>
      <s:patternFill patternType="solid">
        <s:fgColor theme="6" tint="0.4"/>
        <s:bgColor theme="6" tint="0.4"/>
      </s:patternFill>
    </s:fill>
    <s:fill>
      <s:patternFill patternType="solid">
        <s:fgColor indexed="24"/>
        <s:bgColor indexed="24"/>
      </s:patternFill>
    </s:fill>
    <s:fill>
      <s:patternFill patternType="solid">
        <s:fgColor rgb="FF92D050"/>
        <s:bgColor rgb="FF92D050"/>
      </s:patternFill>
    </s:fill>
    <s:fill>
      <s:patternFill patternType="solid">
        <s:fgColor theme="0" tint="-0.25"/>
        <s:bgColor theme="0" tint="-0.25"/>
      </s:patternFill>
    </s:fill>
    <s:fill>
      <s:patternFill patternType="solid">
        <s:fgColor theme="0" tint="-0.05"/>
        <s:bgColor theme="0" tint="-0.05"/>
      </s:patternFill>
    </s:fill>
    <s:fill>
      <s:patternFill patternType="solid">
        <s:fgColor theme="3" tint="0.8"/>
        <s:bgColor theme="3" tint="0.8"/>
      </s:patternFill>
    </s:fill>
    <s:fill>
      <s:patternFill patternType="solid">
        <s:fgColor theme="4" tint="0.8"/>
        <s:bgColor theme="4" tint="0.8"/>
      </s:patternFill>
    </s:fill>
    <s:fill>
      <s:patternFill patternType="mediumGray"/>
    </s:fill>
    <s:fill>
      <s:patternFill patternType="mediumGray">
        <s:fgColor theme="4" tint="0.8"/>
        <s:bgColor theme="4" tint="0.8"/>
      </s:patternFill>
    </s:fill>
    <s:fill>
      <s:patternFill patternType="solid">
        <s:fgColor theme="4" tint="0.6"/>
        <s:bgColor theme="4" tint="0.6"/>
      </s:patternFill>
    </s:fill>
    <s:fill>
      <s:patternFill patternType="solid">
        <s:fgColor theme="0" tint="-0.05"/>
        <s:bgColor theme="6" tint="0.8"/>
      </s:patternFill>
    </s:fill>
    <s:fill>
      <s:patternFill patternType="solid">
        <s:fgColor theme="4" tint="0.4"/>
        <s:bgColor indexed="52"/>
      </s:patternFill>
    </s:fill>
    <s:fill>
      <s:patternFill patternType="solid">
        <s:fgColor theme="0" tint="-0.15"/>
        <s:bgColor indexed="64"/>
      </s:patternFill>
    </s:fill>
    <s:fill>
      <s:patternFill patternType="solid">
        <s:fgColor rgb="FFC5D9F1"/>
        <s:bgColor indexed="64"/>
      </s:patternFill>
    </s:fill>
    <s:fill>
      <s:patternFill patternType="solid">
        <s:fgColor theme="4" tint="0.8"/>
        <s:bgColor rgb="FFFFE599"/>
      </s:patternFill>
    </s:fill>
    <s:fill>
      <s:patternFill patternType="solid">
        <s:fgColor theme="4" tint="0.8"/>
        <s:bgColor rgb="FFFFF2CC"/>
      </s:patternFill>
    </s:fill>
    <s:fill>
      <s:patternFill patternType="solid">
        <s:fgColor rgb="FFFFFF00"/>
        <s:bgColor indexed="64"/>
      </s:patternFill>
    </s:fill>
    <s:fill>
      <s:patternFill patternType="solid">
        <s:fgColor theme="4" tint="0.8"/>
        <s:bgColor rgb="FFF7EAC5"/>
      </s:patternFill>
    </s:fill>
    <s:fill>
      <s:patternFill patternType="solid">
        <s:fgColor rgb="FFFFC000"/>
        <s:bgColor indexed="64"/>
      </s:patternFill>
    </s:fill>
    <s:fill>
      <s:patternFill patternType="solid">
        <s:fgColor rgb="FFDDD9C4"/>
        <s:bgColor indexed="64"/>
      </s:patternFill>
    </s:fill>
    <s:fill>
      <s:patternFill patternType="solid">
        <s:fgColor indexed="65"/>
      </s:patternFill>
    </s:fill>
    <s:fill>
      <s:patternFill patternType="solid">
        <s:fgColor rgb="FFF3F3F3"/>
        <s:bgColor rgb="FFF3F3F3"/>
      </s:patternFill>
    </s:fill>
    <s:fill>
      <s:patternFill patternType="solid">
        <s:fgColor rgb="FFF4ECC5"/>
        <s:bgColor auto="1"/>
      </s:patternFill>
    </s:fill>
    <s:fill>
      <s:patternFill patternType="solid">
        <s:fgColor theme="9" tint="0.6"/>
        <s:bgColor indexed="64"/>
      </s:patternFill>
    </s:fill>
    <s:fill>
      <s:patternFill patternType="solid">
        <s:fgColor theme="8" tint="0.6"/>
        <s:bgColor indexed="64"/>
      </s:patternFill>
    </s:fill>
    <s:fill>
      <s:patternFill patternType="solid">
        <s:fgColor theme="8" tint="0.8"/>
        <s:bgColor indexed="64"/>
      </s:patternFill>
    </s:fill>
    <s:fill>
      <s:patternFill patternType="solid">
        <s:fgColor theme="7" tint="0.8"/>
        <s:bgColor indexed="64"/>
      </s:patternFill>
    </s:fill>
    <s:fill>
      <s:patternFill patternType="solid">
        <s:fgColor rgb="FF00B0F0"/>
        <s:bgColor indexed="64"/>
      </s:patternFill>
    </s:fill>
    <s:fill>
      <s:patternFill patternType="solid">
        <s:fgColor rgb="FF92D050"/>
        <s:bgColor indexed="64"/>
      </s:patternFill>
    </s:fill>
    <s:fill>
      <s:patternFill patternType="solid">
        <s:fgColor theme="8"/>
        <s:bgColor indexed="64"/>
      </s:patternFill>
    </s:fill>
    <s:fill>
      <s:patternFill patternType="solid">
        <s:fgColor theme="3" tint="0.6"/>
        <s:bgColor indexed="64"/>
      </s:patternFill>
    </s:fill>
    <s:fill>
      <s:patternFill patternType="solid">
        <s:fgColor theme="4" tint="0.4"/>
        <s:bgColor indexed="64"/>
      </s:patternFill>
    </s:fill>
    <s:fill>
      <s:patternFill patternType="solid">
        <s:fgColor theme="3" tint="0.8"/>
        <s:bgColor indexed="64"/>
      </s:patternFill>
    </s:fill>
    <s:fill>
      <s:patternFill patternType="solid">
        <s:fgColor theme="9" tint="0.8"/>
        <s:bgColor indexed="64"/>
      </s:patternFill>
    </s:fill>
  </s:fills>
  <s:borders count="72">
    <s:border>
      <s:left/>
      <s:right/>
      <s:top/>
      <s:bottom/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/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/>
      <s:top style="medium">
        <s:color auto="1"/>
      </s:top>
      <s:bottom style="thin">
        <s:color auto="1"/>
      </s:bottom>
      <s:diagonal/>
    </s:border>
    <s:border>
      <s:left/>
      <s:right/>
      <s:top style="medium">
        <s:color auto="1"/>
      </s:top>
      <s:bottom style="thin">
        <s:color auto="1"/>
      </s:bottom>
      <s:diagonal/>
    </s:border>
    <s:border>
      <s:left/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medium">
        <s:color auto="1"/>
      </s:left>
      <s:right/>
      <s:top style="thin">
        <s:color auto="1"/>
      </s:top>
      <s:bottom style="thin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medium">
        <s:color auto="1"/>
      </s:top>
      <s:bottom style="medium">
        <s:color auto="1"/>
      </s:bottom>
      <s:diagonal/>
    </s:border>
    <s:border>
      <s:left/>
      <s:right/>
      <s:top style="medium">
        <s:color auto="1"/>
      </s:top>
      <s:bottom style="medium">
        <s:color auto="1"/>
      </s:bottom>
      <s:diagonal/>
    </s:border>
    <s:border>
      <s:left/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medium">
        <s:color auto="1"/>
      </s:top>
      <s:bottom style="thin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/>
      <s:bottom style="thin">
        <s:color auto="1"/>
      </s:bottom>
      <s:diagonal/>
    </s:border>
    <s:border>
      <s:left/>
      <s:right/>
      <s:top/>
      <s:bottom style="thin">
        <s:color auto="1"/>
      </s:bottom>
      <s:diagonal/>
    </s:border>
    <s:border>
      <s:left/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/>
      <s:diagonal/>
    </s:border>
    <s:border>
      <s:left style="thin">
        <s:color auto="1"/>
      </s:left>
      <s:right style="thin">
        <s:color auto="1"/>
      </s:right>
      <s:top/>
      <s:bottom/>
      <s:diagonal/>
    </s:border>
    <s:border>
      <s:left style="thin">
        <s:color auto="1"/>
      </s:left>
      <s:right style="medium">
        <s:color auto="1"/>
      </s:right>
      <s:top/>
      <s:bottom/>
      <s:diagonal/>
    </s:border>
    <s:border>
      <s:left/>
      <s:right/>
      <s:top style="thin">
        <s:color auto="1"/>
      </s:top>
      <s:bottom style="medium">
        <s:color auto="1"/>
      </s:bottom>
      <s:diagonal/>
    </s:border>
    <s:border>
      <s:left style="medium">
        <s:color indexed="64"/>
      </s:left>
      <s:right style="thin">
        <s:color auto="1"/>
      </s:right>
      <s:top style="medium">
        <s:color indexed="64"/>
      </s:top>
      <s:bottom/>
      <s:diagonal/>
    </s:border>
    <s:border>
      <s:left style="thin">
        <s:color auto="1"/>
      </s:left>
      <s:right style="medium">
        <s:color indexed="64"/>
      </s:right>
      <s:top style="medium">
        <s:color indexed="64"/>
      </s:top>
      <s:bottom/>
      <s:diagonal/>
    </s:border>
    <s:border>
      <s:left style="medium">
        <s:color auto="1"/>
      </s:left>
      <s:right style="thin">
        <s:color auto="1"/>
      </s:right>
      <s:top/>
      <s:bottom/>
      <s:diagonal/>
    </s:border>
    <s:border>
      <s:left/>
      <s:right style="thin">
        <s:color auto="1"/>
      </s:right>
      <s:top style="medium">
        <s:color indexed="64"/>
      </s:top>
      <s:bottom/>
      <s:diagonal/>
    </s:border>
    <s:border>
      <s:left style="dotted">
        <s:color auto="1"/>
      </s:left>
      <s:right style="dotted">
        <s:color auto="1"/>
      </s:right>
      <s:top/>
      <s:bottom/>
      <s:diagonal/>
    </s:border>
    <s:border>
      <s:left style="dotted">
        <s:color auto="1"/>
      </s:left>
      <s:right style="medium">
        <s:color indexed="64"/>
      </s:right>
      <s:top/>
      <s:bottom/>
      <s:diagonal/>
    </s:border>
    <s:border>
      <s:left style="dotted">
        <s:color auto="1"/>
      </s:left>
      <s:right style="dotted">
        <s:color auto="1"/>
      </s:right>
      <s:top/>
      <s:bottom style="medium">
        <s:color indexed="64"/>
      </s:bottom>
      <s:diagonal/>
    </s:border>
    <s:border>
      <s:left style="dotted">
        <s:color auto="1"/>
      </s:left>
      <s:right style="medium">
        <s:color indexed="64"/>
      </s:right>
      <s:top/>
      <s:bottom style="medium">
        <s:color indexed="64"/>
      </s:bottom>
      <s:diagonal/>
    </s:border>
    <s:border>
      <s:left style="medium">
        <s:color indexed="64"/>
      </s:left>
      <s:right style="thin">
        <s:color rgb="FFCCC085"/>
      </s:right>
      <s:top style="medium">
        <s:color indexed="64"/>
      </s:top>
      <s:bottom/>
      <s:diagonal/>
    </s:border>
    <s:border>
      <s:left style="thin">
        <s:color rgb="FFCCC085"/>
      </s:left>
      <s:right style="thin">
        <s:color rgb="FFCCC085"/>
      </s:right>
      <s:top style="medium">
        <s:color indexed="64"/>
      </s:top>
      <s:bottom/>
      <s:diagonal/>
    </s:border>
    <s:border>
      <s:left style="thin">
        <s:color rgb="FFCCC085"/>
      </s:left>
      <s:right style="medium">
        <s:color indexed="64"/>
      </s:right>
      <s:top style="medium">
        <s:color indexed="64"/>
      </s:top>
      <s:bottom/>
      <s:diagonal/>
    </s:border>
    <s:border>
      <s:left style="medium">
        <s:color indexed="64"/>
      </s:left>
      <s:right style="thin">
        <s:color rgb="FFCCC085"/>
      </s:right>
      <s:top style="medium">
        <s:color indexed="64"/>
      </s:top>
      <s:bottom style="thin">
        <s:color rgb="FFCCC085"/>
      </s:bottom>
      <s:diagonal/>
    </s:border>
    <s:border>
      <s:left style="thin">
        <s:color rgb="FFCCC085"/>
      </s:left>
      <s:right style="thin">
        <s:color rgb="FFCCC085"/>
      </s:right>
      <s:top style="medium">
        <s:color indexed="64"/>
      </s:top>
      <s:bottom style="thin">
        <s:color rgb="FFCCC085"/>
      </s:bottom>
      <s:diagonal/>
    </s:border>
    <s:border>
      <s:left style="thin">
        <s:color rgb="FFCCC085"/>
      </s:left>
      <s:right style="medium">
        <s:color indexed="64"/>
      </s:right>
      <s:top style="medium">
        <s:color indexed="64"/>
      </s:top>
      <s:bottom style="thin">
        <s:color rgb="FFCCC085"/>
      </s:bottom>
      <s:diagonal/>
    </s:border>
    <s:border>
      <s:left style="medium">
        <s:color indexed="64"/>
      </s:left>
      <s:right style="thin">
        <s:color rgb="FFCCC085"/>
      </s:right>
      <s:top style="thin">
        <s:color rgb="FFCCC085"/>
      </s:top>
      <s:bottom style="thin">
        <s:color rgb="FFCCC085"/>
      </s:bottom>
      <s:diagonal/>
    </s:border>
    <s:border>
      <s:left style="thin">
        <s:color rgb="FFCCC085"/>
      </s:left>
      <s:right style="thin">
        <s:color rgb="FFCCC085"/>
      </s:right>
      <s:top style="thin">
        <s:color rgb="FFCCC085"/>
      </s:top>
      <s:bottom style="thin">
        <s:color rgb="FFCCC085"/>
      </s:bottom>
      <s:diagonal/>
    </s:border>
    <s:border>
      <s:left style="thin">
        <s:color rgb="FFCCC085"/>
      </s:left>
      <s:right style="medium">
        <s:color indexed="64"/>
      </s:right>
      <s:top style="thin">
        <s:color rgb="FFCCC085"/>
      </s:top>
      <s:bottom style="thin">
        <s:color rgb="FFCCC085"/>
      </s:bottom>
      <s:diagonal/>
    </s:border>
    <s:border>
      <s:left style="medium">
        <s:color indexed="64"/>
      </s:left>
      <s:right style="thin">
        <s:color rgb="FFCCC085"/>
      </s:right>
      <s:top style="thin">
        <s:color rgb="FFCCC085"/>
      </s:top>
      <s:bottom style="medium">
        <s:color indexed="64"/>
      </s:bottom>
      <s:diagonal/>
    </s:border>
    <s:border>
      <s:left style="thin">
        <s:color rgb="FFCCC085"/>
      </s:left>
      <s:right style="thin">
        <s:color rgb="FFCCC085"/>
      </s:right>
      <s:top style="thin">
        <s:color rgb="FFCCC085"/>
      </s:top>
      <s:bottom style="medium">
        <s:color indexed="64"/>
      </s:bottom>
      <s:diagonal/>
    </s:border>
    <s:border>
      <s:left style="thin">
        <s:color rgb="FFCCC085"/>
      </s:left>
      <s:right style="medium">
        <s:color indexed="64"/>
      </s:right>
      <s:top style="thin">
        <s:color rgb="FFCCC085"/>
      </s:top>
      <s:bottom style="medium">
        <s:color indexed="64"/>
      </s:bottom>
      <s:diagonal/>
    </s:border>
    <s:border>
      <s:left style="medium">
        <s:color indexed="64"/>
      </s:left>
      <s:right style="thin">
        <s:color rgb="FFCCC085"/>
      </s:right>
      <s:top style="medium">
        <s:color indexed="64"/>
      </s:top>
      <s:bottom style="medium">
        <s:color indexed="64"/>
      </s:bottom>
      <s:diagonal/>
    </s:border>
    <s:border>
      <s:left style="thin">
        <s:color rgb="FFCCC085"/>
      </s:left>
      <s:right style="thin">
        <s:color rgb="FFCCC085"/>
      </s:right>
      <s:top style="medium">
        <s:color indexed="64"/>
      </s:top>
      <s:bottom style="medium">
        <s:color indexed="64"/>
      </s:bottom>
      <s:diagonal/>
    </s:border>
    <s:border>
      <s:left style="thin">
        <s:color indexed="64"/>
      </s:left>
      <s:right style="thin">
        <s:color indexed="64"/>
      </s:right>
      <s:top style="medium">
        <s:color indexed="64"/>
      </s:top>
      <s:bottom/>
      <s:diagonal/>
    </s:border>
    <s:border>
      <s:left style="thin">
        <s:color auto="1"/>
      </s:left>
      <s:right/>
      <s:top style="medium">
        <s:color indexed="64"/>
      </s:top>
      <s:bottom/>
      <s:diagonal/>
    </s:border>
    <s:border>
      <s:left style="medium">
        <s:color indexed="64"/>
      </s:left>
      <s:right/>
      <s:top/>
      <s:bottom/>
      <s:diagonal/>
    </s:border>
    <s:border>
      <s:left style="medium">
        <s:color indexed="64"/>
      </s:left>
      <s:right/>
      <s:top style="medium">
        <s:color indexed="64"/>
      </s:top>
      <s:bottom style="medium">
        <s:color indexed="64"/>
      </s:bottom>
      <s:diagonal/>
    </s:border>
    <s:border>
      <s:left/>
      <s:right/>
      <s:top/>
      <s:bottom style="medium">
        <s:color indexed="64"/>
      </s:bottom>
      <s:diagonal/>
    </s:border>
    <s:border>
      <s:left/>
      <s:right style="medium">
        <s:color indexed="64"/>
      </s:right>
      <s:top style="thin">
        <s:color indexed="64"/>
      </s:top>
      <s:bottom style="medium">
        <s:color indexed="64"/>
      </s:bottom>
      <s:diagonal/>
    </s:border>
    <s:border>
      <s:left style="thin">
        <s:color auto="1"/>
      </s:left>
      <s:right/>
      <s:top style="thin">
        <s:color auto="1"/>
      </s:top>
      <s:bottom style="medium">
        <s:color indexed="64"/>
      </s:bottom>
      <s:diagonal/>
    </s:border>
  </s:borders>
  <s:cellStyleXfs count="18">
    <s:xf numFmtId="164" fontId="0" fillId="0" borderId="0"/>
    <s:xf numFmtId="164" fontId="3" fillId="0" borderId="0">
      <s:alignment horizontal="left" vertical="center" wrapText="1" mc:Ignorable="vyd"/>
    </s:xf>
    <s:xf numFmtId="165" fontId="4" fillId="0" borderId="0" applyFont="0" applyFill="0" applyBorder="0" applyProtection="0"/>
    <s:xf numFmtId="164" fontId="5" fillId="0" borderId="0" applyBorder="0">
      <s:alignment horizontal="left" vertical="center" wrapText="1" mc:Ignorable="vyd"/>
    </s:xf>
    <s:xf numFmtId="164" fontId="4" fillId="0" borderId="0"/>
    <s:xf numFmtId="9" fontId="4" fillId="0" borderId="0" applyFont="0" applyFill="0" applyBorder="0" applyProtection="0"/>
    <s:xf numFmtId="164" fontId="6" fillId="0" borderId="0">
      <s:alignment horizontal="left" wrapText="1" mc:Ignorable="vyd"/>
    </s:xf>
    <s:xf numFmtId="166" fontId="7" fillId="0" borderId="0" applyFont="0" applyFill="0" applyBorder="0" applyProtection="0"/>
    <s:xf numFmtId="9" fontId="7" fillId="0" borderId="0" applyFont="0" applyFill="0" applyBorder="0" applyProtection="0"/>
    <s:xf numFmtId="165" fontId="7" fillId="0" borderId="0" applyFont="0" applyFill="0" applyBorder="0" applyProtection="0"/>
    <s:xf numFmtId="0" fontId="4" fillId="0" borderId="0"/>
    <s:xf numFmtId="174" fontId="37" fillId="0" borderId="0" applyFont="0" applyFill="0" applyBorder="0" applyAlignment="0" applyProtection="0"/>
    <s:xf numFmtId="0" fontId="37" fillId="0" borderId="0"/>
    <s:xf numFmtId="0" fontId="37" fillId="0" borderId="0"/>
    <s:xf numFmtId="0" fontId="2" fillId="0" borderId="0"/>
    <s:xf numFmtId="43" fontId="2" fillId="0" borderId="0" applyFont="0" applyFill="0" applyBorder="0" applyAlignment="0" applyProtection="0"/>
    <s:xf numFmtId="9" fontId="2" fillId="0" borderId="0" applyFont="0" applyFill="0" applyBorder="0" applyAlignment="0" applyProtection="0"/>
    <s:xf numFmtId="0" fontId="2" fillId="0" borderId="0"/>
  </s:cellStyleXfs>
  <s:cellXfs count="714">
    <s:xf numFmtId="164" fontId="0" fillId="0" borderId="0" xfId="0"/>
    <s:xf numFmtId="164" fontId="8" fillId="0" borderId="0" xfId="0" applyFont="1" applyProtection="1">
      <s:protection locked="0"/>
    </s:xf>
    <s:xf numFmtId="164" fontId="9" fillId="0" borderId="0" xfId="0" applyFont="1" applyProtection="1">
      <s:protection locked="0"/>
    </s:xf>
    <s:xf numFmtId="164" fontId="0" fillId="0" borderId="0" xfId="0" applyProtection="1">
      <s:protection locked="0"/>
    </s:xf>
    <s:xf numFmtId="164" fontId="6" fillId="2" borderId="1" xfId="0" applyFont="1" applyFill="1" applyBorder="1" applyAlignment="1" applyProtection="1">
      <s:alignment horizontal="right" wrapText="1" indent="1" mc:Ignorable="vyd"/>
      <s:protection locked="0"/>
    </s:xf>
    <s:xf numFmtId="164" fontId="11" fillId="0" borderId="0" xfId="0" applyFont="1" applyProtection="1">
      <s:protection locked="0"/>
    </s:xf>
    <s:xf numFmtId="164" fontId="10" fillId="0" borderId="0" xfId="0" applyFont="1" applyAlignment="1" applyProtection="1">
      <s:alignment wrapText="1" mc:Ignorable="vyd"/>
      <s:protection locked="0"/>
    </s:xf>
    <s:xf numFmtId="164" fontId="12" fillId="0" borderId="0" xfId="0" applyFont="1" applyProtection="1">
      <s:protection locked="0"/>
    </s:xf>
    <s:xf numFmtId="164" fontId="13" fillId="0" borderId="0" xfId="0" applyFont="1" applyProtection="1">
      <s:protection locked="0"/>
    </s:xf>
    <s:xf numFmtId="164" fontId="14" fillId="2" borderId="3" xfId="0" applyFont="1" applyFill="1" applyBorder="1" applyAlignment="1" applyProtection="1">
      <s:alignment horizontal="center" vertical="center" wrapText="1" mc:Ignorable="vyd"/>
      <s:protection locked="0"/>
    </s:xf>
    <s:xf numFmtId="167" fontId="16" fillId="4" borderId="1" xfId="9" applyNumberFormat="1" applyFont="1" applyFill="1" applyBorder="1" applyAlignment="1" applyProtection="1">
      <s:alignment horizontal="center" vertical="center" mc:Ignorable="vyd"/>
      <s:protection locked="0"/>
    </s:xf>
    <s:xf numFmtId="9" fontId="6" fillId="3" borderId="3" xfId="8" applyFont="1" applyFill="1" applyBorder="1" applyAlignment="1" applyProtection="1">
      <s:alignment horizontal="center" vertical="center" mc:Ignorable="vyd"/>
      <s:protection locked="0"/>
    </s:xf>
    <s:xf numFmtId="0" fontId="17" fillId="0" borderId="0" xfId="0" applyNumberFormat="1" applyFont="1" applyProtection="1">
      <s:protection locked="0"/>
    </s:xf>
    <s:xf numFmtId="9" fontId="8" fillId="0" borderId="0" xfId="0" applyNumberFormat="1" applyFont="1" applyProtection="1">
      <s:protection locked="0"/>
    </s:xf>
    <s:xf numFmtId="164" fontId="10" fillId="0" borderId="0" xfId="0" applyFont="1"/>
    <s:xf numFmtId="164" fontId="8" fillId="0" borderId="0" xfId="0" applyFont="1" applyAlignment="1" applyProtection="1">
      <s:alignment vertical="center" mc:Ignorable="vyd"/>
      <s:protection locked="0"/>
    </s:xf>
    <s:xf numFmtId="164" fontId="18" fillId="2" borderId="1" xfId="0" applyFont="1" applyFill="1" applyBorder="1" applyAlignment="1" applyProtection="1">
      <s:alignment horizontal="center" vertical="center" wrapText="1" mc:Ignorable="vyd"/>
      <s:protection locked="0"/>
    </s:xf>
    <s:xf numFmtId="164" fontId="13" fillId="3" borderId="1" xfId="0" applyFont="1" applyFill="1" applyBorder="1" applyAlignment="1" applyProtection="1">
      <s:alignment vertical="center" mc:Ignorable="vyd"/>
      <s:protection locked="0"/>
    </s:xf>
    <s:xf numFmtId="164" fontId="16" fillId="3" borderId="1" xfId="0" applyFont="1" applyFill="1" applyBorder="1" applyAlignment="1" applyProtection="1">
      <s:alignment vertical="center" mc:Ignorable="vyd"/>
      <s:protection locked="0"/>
    </s:xf>
    <s:xf numFmtId="9" fontId="12" fillId="6" borderId="1" xfId="8" applyFont="1" applyFill="1" applyBorder="1" applyAlignment="1" applyProtection="1">
      <s:alignment horizontal="center" vertical="center" mc:Ignorable="vyd"/>
      <s:protection locked="0"/>
    </s:xf>
    <s:xf numFmtId="168" fontId="8" fillId="0" borderId="0" xfId="0" applyNumberFormat="1" applyFont="1" applyAlignment="1" applyProtection="1">
      <s:alignment vertical="center" mc:Ignorable="vyd"/>
      <s:protection locked="0"/>
    </s:xf>
    <s:xf numFmtId="164" fontId="18" fillId="0" borderId="0" xfId="0" applyFont="1" applyAlignment="1" applyProtection="1">
      <s:alignment horizontal="center" vertical="center" wrapText="1" mc:Ignorable="vyd"/>
      <s:protection locked="0"/>
    </s:xf>
    <s:xf numFmtId="164" fontId="13" fillId="0" borderId="0" xfId="0" applyFont="1" applyAlignment="1" applyProtection="1">
      <s:alignment vertical="center" mc:Ignorable="vyd"/>
      <s:protection locked="0"/>
    </s:xf>
    <s:xf numFmtId="167" fontId="16" fillId="3" borderId="1" xfId="9" applyNumberFormat="1" applyFont="1" applyFill="1" applyBorder="1" applyAlignment="1" applyProtection="1">
      <s:alignment horizontal="center" mc:Ignorable="vyd"/>
      <s:protection locked="0"/>
    </s:xf>
    <s:xf numFmtId="9" fontId="12" fillId="0" borderId="0" xfId="8" applyFont="1" applyAlignment="1" applyProtection="1">
      <s:alignment horizontal="center" vertical="center" mc:Ignorable="vyd"/>
      <s:protection locked="0"/>
    </s:xf>
    <s:xf numFmtId="2" fontId="12" fillId="3" borderId="1" xfId="0" applyNumberFormat="1" applyFont="1" applyFill="1" applyBorder="1" applyProtection="1">
      <s:protection locked="0"/>
    </s:xf>
    <s:xf numFmtId="9" fontId="13" fillId="0" borderId="0" xfId="8" applyFont="1" applyAlignment="1" applyProtection="1">
      <s:alignment vertical="center" mc:Ignorable="vyd"/>
      <s:protection locked="0"/>
    </s:xf>
    <s:xf numFmtId="164" fontId="19" fillId="0" borderId="0" xfId="0" applyFont="1" applyProtection="1">
      <s:protection locked="0"/>
    </s:xf>
    <s:xf numFmtId="164" fontId="16" fillId="0" borderId="0" xfId="0" applyFont="1"/>
    <s:xf numFmtId="164" fontId="20" fillId="0" borderId="0" xfId="0" applyFont="1"/>
    <s:xf numFmtId="164" fontId="21" fillId="0" borderId="0" xfId="0" applyFont="1"/>
    <s:xf numFmtId="164" fontId="6" fillId="2" borderId="1" xfId="0" applyFont="1" applyFill="1" applyBorder="1" applyAlignment="1">
      <s:alignment horizontal="center" vertical="center" wrapText="1" mc:Ignorable="vyd"/>
    </s:xf>
    <s:xf numFmtId="164" fontId="21" fillId="0" borderId="0" xfId="0" applyFont="1" applyAlignment="1">
      <s:alignment horizontal="center" vertical="center" mc:Ignorable="vyd"/>
    </s:xf>
    <s:xf numFmtId="164" fontId="6" fillId="7" borderId="0" xfId="0" applyFont="1" applyFill="1"/>
    <s:xf numFmtId="9" fontId="6" fillId="3" borderId="1" xfId="0" applyNumberFormat="1" applyFont="1" applyFill="1" applyBorder="1" applyAlignment="1" applyProtection="1">
      <s:alignment horizontal="center" vertical="center" mc:Ignorable="vyd"/>
      <s:protection locked="0"/>
    </s:xf>
    <s:xf numFmtId="9" fontId="22" fillId="0" borderId="0" xfId="8" applyFont="1"/>
    <s:xf numFmtId="167" fontId="6" fillId="7" borderId="0" xfId="0" applyNumberFormat="1" applyFont="1" applyFill="1"/>
    <s:xf numFmtId="164" fontId="20" fillId="0" borderId="0" xfId="0" applyFont="1" applyAlignment="1">
      <s:alignment horizontal="center" vertical="center" mc:Ignorable="vyd"/>
    </s:xf>
    <s:xf numFmtId="164" fontId="6" fillId="0" borderId="0" xfId="0" applyFont="1"/>
    <s:xf numFmtId="164" fontId="6" fillId="2" borderId="14" xfId="0" applyFont="1" applyFill="1" applyBorder="1" applyAlignment="1">
      <s:alignment horizontal="center" mc:Ignorable="vyd"/>
    </s:xf>
    <s:xf numFmtId="1" fontId="22" fillId="4" borderId="18" xfId="0" applyNumberFormat="1" applyFont="1" applyFill="1" applyBorder="1" applyAlignment="1">
      <s:alignment horizontal="right" indent="1" mc:Ignorable="vyd"/>
    </s:xf>
    <s:xf numFmtId="1" fontId="22" fillId="4" borderId="19" xfId="0" applyNumberFormat="1" applyFont="1" applyFill="1" applyBorder="1" applyAlignment="1">
      <s:alignment horizontal="right" indent="1" mc:Ignorable="vyd"/>
    </s:xf>
    <s:xf numFmtId="1" fontId="22" fillId="4" borderId="20" xfId="0" applyNumberFormat="1" applyFont="1" applyFill="1" applyBorder="1" applyAlignment="1">
      <s:alignment horizontal="right" indent="1" mc:Ignorable="vyd"/>
    </s:xf>
    <s:xf numFmtId="1" fontId="16" fillId="4" borderId="18" xfId="0" applyNumberFormat="1" applyFont="1" applyFill="1" applyBorder="1" applyAlignment="1">
      <s:alignment horizontal="right" indent="1" mc:Ignorable="vyd"/>
    </s:xf>
    <s:xf numFmtId="1" fontId="21" fillId="4" borderId="23" xfId="0" applyNumberFormat="1" applyFont="1" applyFill="1" applyBorder="1" applyAlignment="1">
      <s:alignment horizontal="right" indent="1" mc:Ignorable="vyd"/>
    </s:xf>
    <s:xf numFmtId="167" fontId="22" fillId="5" borderId="3" xfId="0" applyNumberFormat="1" applyFont="1" applyFill="1" applyBorder="1" applyAlignment="1">
      <s:alignment horizontal="right" mc:Ignorable="vyd"/>
    </s:xf>
    <s:xf numFmtId="167" fontId="22" fillId="5" borderId="1" xfId="0" applyNumberFormat="1" applyFont="1" applyFill="1" applyBorder="1" applyAlignment="1">
      <s:alignment horizontal="right" mc:Ignorable="vyd"/>
    </s:xf>
    <s:xf numFmtId="167" fontId="22" fillId="5" borderId="23" xfId="0" applyNumberFormat="1" applyFont="1" applyFill="1" applyBorder="1" applyAlignment="1">
      <s:alignment horizontal="right" mc:Ignorable="vyd"/>
    </s:xf>
    <s:xf numFmtId="167" fontId="16" fillId="2" borderId="3" xfId="0" applyNumberFormat="1" applyFont="1" applyFill="1" applyBorder="1"/>
    <s:xf numFmtId="167" fontId="16" fillId="2" borderId="1" xfId="0" applyNumberFormat="1" applyFont="1" applyFill="1" applyBorder="1"/>
    <s:xf numFmtId="167" fontId="21" fillId="2" borderId="23" xfId="0" applyNumberFormat="1" applyFont="1" applyFill="1" applyBorder="1"/>
    <s:xf numFmtId="167" fontId="6" fillId="5" borderId="3" xfId="0" applyNumberFormat="1" applyFont="1" applyFill="1" applyBorder="1" applyAlignment="1">
      <s:alignment horizontal="right" mc:Ignorable="vyd"/>
    </s:xf>
    <s:xf numFmtId="167" fontId="6" fillId="5" borderId="1" xfId="0" applyNumberFormat="1" applyFont="1" applyFill="1" applyBorder="1" applyAlignment="1">
      <s:alignment horizontal="right" mc:Ignorable="vyd"/>
    </s:xf>
    <s:xf numFmtId="167" fontId="6" fillId="5" borderId="23" xfId="0" applyNumberFormat="1" applyFont="1" applyFill="1" applyBorder="1" applyAlignment="1">
      <s:alignment horizontal="right" mc:Ignorable="vyd"/>
    </s:xf>
    <s:xf numFmtId="9" fontId="6" fillId="0" borderId="0" xfId="0" applyNumberFormat="1" applyFont="1"/>
    <s:xf numFmtId="167" fontId="22" fillId="8" borderId="3" xfId="0" applyNumberFormat="1" applyFont="1" applyFill="1" applyBorder="1"/>
    <s:xf numFmtId="167" fontId="22" fillId="8" borderId="1" xfId="0" applyNumberFormat="1" applyFont="1" applyFill="1" applyBorder="1"/>
    <s:xf numFmtId="167" fontId="22" fillId="8" borderId="23" xfId="0" applyNumberFormat="1" applyFont="1" applyFill="1" applyBorder="1"/>
    <s:xf numFmtId="167" fontId="16" fillId="9" borderId="3" xfId="0" applyNumberFormat="1" applyFont="1" applyFill="1" applyBorder="1"/>
    <s:xf numFmtId="167" fontId="16" fillId="9" borderId="1" xfId="0" applyNumberFormat="1" applyFont="1" applyFill="1" applyBorder="1"/>
    <s:xf numFmtId="167" fontId="21" fillId="9" borderId="23" xfId="0" applyNumberFormat="1" applyFont="1" applyFill="1" applyBorder="1"/>
    <s:xf numFmtId="9" fontId="6" fillId="0" borderId="0" xfId="8" applyFont="1"/>
    <s:xf numFmtId="9" fontId="22" fillId="8" borderId="3" xfId="8" applyFont="1" applyFill="1" applyBorder="1"/>
    <s:xf numFmtId="9" fontId="22" fillId="8" borderId="1" xfId="8" applyFont="1" applyFill="1" applyBorder="1"/>
    <s:xf numFmtId="9" fontId="22" fillId="8" borderId="23" xfId="8" applyFont="1" applyFill="1" applyBorder="1"/>
    <s:xf numFmtId="9" fontId="16" fillId="9" borderId="3" xfId="8" applyFont="1" applyFill="1" applyBorder="1"/>
    <s:xf numFmtId="9" fontId="16" fillId="9" borderId="1" xfId="8" applyFont="1" applyFill="1" applyBorder="1"/>
    <s:xf numFmtId="9" fontId="21" fillId="9" borderId="23" xfId="8" applyFont="1" applyFill="1" applyBorder="1"/>
    <s:xf numFmtId="9" fontId="16" fillId="9" borderId="14" xfId="8" applyFont="1" applyFill="1" applyBorder="1"/>
    <s:xf numFmtId="9" fontId="16" fillId="9" borderId="26" xfId="8" applyFont="1" applyFill="1" applyBorder="1"/>
    <s:xf numFmtId="9" fontId="21" fillId="9" borderId="15" xfId="8" applyFont="1" applyFill="1" applyBorder="1"/>
    <s:xf numFmtId="164" fontId="10" fillId="0" borderId="0" xfId="0" applyFont="1" applyAlignment="1">
      <s:alignment horizontal="left" vertical="center" indent="2" mc:Ignorable="vyd"/>
    </s:xf>
    <s:xf numFmtId="9" fontId="16" fillId="0" borderId="0" xfId="8" applyFont="1"/>
    <s:xf numFmtId="9" fontId="21" fillId="0" borderId="0" xfId="8" applyFont="1"/>
    <s:xf numFmtId="164" fontId="16" fillId="0" borderId="0" xfId="0" applyFont="1" applyAlignment="1">
      <s:alignment vertical="center" mc:Ignorable="vyd"/>
    </s:xf>
    <s:xf numFmtId="164" fontId="21" fillId="2" borderId="27" xfId="0" applyFont="1" applyFill="1" applyBorder="1" applyAlignment="1">
      <s:alignment horizontal="center" vertical="center" wrapText="1" mc:Ignorable="vyd"/>
    </s:xf>
    <s:xf numFmtId="164" fontId="21" fillId="2" borderId="28" xfId="0" applyFont="1" applyFill="1" applyBorder="1" applyAlignment="1">
      <s:alignment horizontal="center" vertical="center" mc:Ignorable="vyd"/>
    </s:xf>
    <s:xf numFmtId="164" fontId="21" fillId="2" borderId="28" xfId="0" applyFont="1" applyFill="1" applyBorder="1" applyAlignment="1">
      <s:alignment horizontal="center" vertical="center" wrapText="1" mc:Ignorable="vyd"/>
    </s:xf>
    <s:xf numFmtId="164" fontId="21" fillId="2" borderId="29" xfId="0" applyFont="1" applyFill="1" applyBorder="1" applyAlignment="1">
      <s:alignment horizontal="center" vertical="center" wrapText="1" mc:Ignorable="vyd"/>
    </s:xf>
    <s:xf numFmtId="164" fontId="23" fillId="2" borderId="19" xfId="0" applyFont="1" applyFill="1" applyBorder="1" applyAlignment="1">
      <s:alignment horizontal="center" mc:Ignorable="vyd"/>
    </s:xf>
    <s:xf numFmtId="164" fontId="24" fillId="2" borderId="19" xfId="0" applyFont="1" applyFill="1" applyBorder="1" applyAlignment="1">
      <s:alignment horizontal="center" vertical="center" wrapText="1" mc:Ignorable="vyd"/>
    </s:xf>
    <s:xf numFmtId="164" fontId="21" fillId="3" borderId="1" xfId="0" applyFont="1" applyFill="1" applyBorder="1" applyAlignment="1" applyProtection="1">
      <s:alignment horizontal="center" wrapText="1" mc:Ignorable="vyd"/>
      <s:protection locked="0"/>
    </s:xf>
    <s:xf numFmtId="164" fontId="16" fillId="3" borderId="1" xfId="0" applyFont="1" applyFill="1" applyBorder="1" applyAlignment="1" applyProtection="1">
      <s:alignment wrapText="1" mc:Ignorable="vyd"/>
      <s:protection locked="0"/>
    </s:xf>
    <s:xf numFmtId="164" fontId="16" fillId="3" borderId="1" xfId="0" applyFont="1" applyFill="1" applyBorder="1" applyAlignment="1" applyProtection="1">
      <s:alignment horizontal="left" mc:Ignorable="vyd"/>
      <s:protection locked="0"/>
    </s:xf>
    <s:xf numFmtId="2" fontId="16" fillId="3" borderId="1" xfId="0" applyNumberFormat="1" applyFont="1" applyFill="1" applyBorder="1" applyProtection="1">
      <s:protection locked="0"/>
    </s:xf>
    <s:xf numFmtId="9" fontId="16" fillId="3" borderId="1" xfId="8" applyFont="1" applyFill="1" applyBorder="1" applyAlignment="1" applyProtection="1">
      <s:alignment horizontal="right" mc:Ignorable="vyd"/>
      <s:protection locked="0"/>
    </s:xf>
    <s:xf numFmtId="1" fontId="16" fillId="2" borderId="1" xfId="0" applyNumberFormat="1" applyFont="1" applyFill="1" applyBorder="1"/>
    <s:xf numFmtId="167" fontId="16" fillId="5" borderId="3" xfId="0" applyNumberFormat="1" applyFont="1" applyFill="1" applyBorder="1" applyAlignment="1">
      <s:alignment horizontal="right" mc:Ignorable="vyd"/>
    </s:xf>
    <s:xf numFmtId="164" fontId="25" fillId="0" borderId="0" xfId="0" applyFont="1"/>
    <s:xf numFmtId="164" fontId="25" fillId="3" borderId="1" xfId="0" applyFont="1" applyFill="1" applyBorder="1" applyAlignment="1" applyProtection="1">
      <s:alignment wrapText="1" mc:Ignorable="vyd"/>
      <s:protection locked="0"/>
    </s:xf>
    <s:xf numFmtId="2" fontId="25" fillId="3" borderId="1" xfId="0" applyNumberFormat="1" applyFont="1" applyFill="1" applyBorder="1" applyProtection="1">
      <s:protection locked="0"/>
    </s:xf>
    <s:xf numFmtId="9" fontId="25" fillId="3" borderId="1" xfId="8" applyFont="1" applyFill="1" applyBorder="1" applyAlignment="1" applyProtection="1">
      <s:alignment horizontal="right" mc:Ignorable="vyd"/>
      <s:protection locked="0"/>
    </s:xf>
    <s:xf numFmtId="2" fontId="21" fillId="2" borderId="1" xfId="0" applyNumberFormat="1" applyFont="1" applyFill="1" applyBorder="1" applyAlignment="1">
      <s:alignment horizontal="right" mc:Ignorable="vyd"/>
    </s:xf>
    <s:xf numFmtId="9" fontId="21" fillId="2" borderId="1" xfId="8" applyFont="1" applyFill="1" applyBorder="1" applyAlignment="1">
      <s:alignment horizontal="right" mc:Ignorable="vyd"/>
    </s:xf>
    <s:xf numFmtId="1" fontId="21" fillId="2" borderId="1" xfId="0" applyNumberFormat="1" applyFont="1" applyFill="1" applyBorder="1"/>
    <s:xf numFmtId="164" fontId="21" fillId="2" borderId="1" xfId="0" applyFont="1" applyFill="1" applyBorder="1"/>
    <s:xf numFmtId="167" fontId="21" fillId="5" borderId="3" xfId="0" applyNumberFormat="1" applyFont="1" applyFill="1" applyBorder="1" applyAlignment="1">
      <s:alignment horizontal="right" mc:Ignorable="vyd"/>
    </s:xf>
    <s:xf numFmtId="167" fontId="21" fillId="2" borderId="1" xfId="0" applyNumberFormat="1" applyFont="1" applyFill="1" applyBorder="1"/>
    <s:xf numFmtId="164" fontId="21" fillId="2" borderId="1" xfId="0" applyFont="1" applyFill="1" applyBorder="1" applyAlignment="1">
      <s:alignment horizontal="center" mc:Ignorable="vyd"/>
    </s:xf>
    <s:xf numFmtId="164" fontId="21" fillId="0" borderId="0" xfId="0" applyFont="1" applyAlignment="1">
      <s:alignment horizontal="left" mc:Ignorable="vyd"/>
    </s:xf>
    <s:xf numFmtId="1" fontId="21" fillId="0" borderId="0" xfId="0" applyNumberFormat="1" applyFont="1" applyAlignment="1">
      <s:alignment horizontal="right" mc:Ignorable="vyd"/>
    </s:xf>
    <s:xf numFmtId="9" fontId="21" fillId="0" borderId="0" xfId="8" applyFont="1" applyAlignment="1">
      <s:alignment horizontal="right" mc:Ignorable="vyd"/>
    </s:xf>
    <s:xf numFmtId="1" fontId="21" fillId="0" borderId="0" xfId="0" applyNumberFormat="1" applyFont="1"/>
    <s:xf numFmtId="164" fontId="21" fillId="0" borderId="0" xfId="0" applyFont="1" applyAlignment="1">
      <s:alignment horizontal="center" mc:Ignorable="vyd"/>
    </s:xf>
    <s:xf numFmtId="164" fontId="23" fillId="2" borderId="33" xfId="0" applyFont="1" applyFill="1" applyBorder="1" applyAlignment="1">
      <s:alignment horizontal="center" mc:Ignorable="vyd"/>
    </s:xf>
    <s:xf numFmtId="164" fontId="23" fillId="2" borderId="9" xfId="0" applyFont="1" applyFill="1" applyBorder="1" applyAlignment="1">
      <s:alignment horizontal="center" mc:Ignorable="vyd"/>
    </s:xf>
    <s:xf numFmtId="164" fontId="23" fillId="2" borderId="5" xfId="0" applyFont="1" applyFill="1" applyBorder="1" applyAlignment="1">
      <s:alignment horizontal="center" mc:Ignorable="vyd"/>
    </s:xf>
    <s:xf numFmtId="169" fontId="16" fillId="3" borderId="1" xfId="0" applyNumberFormat="1" applyFont="1" applyFill="1" applyBorder="1" applyProtection="1">
      <s:protection locked="0"/>
    </s:xf>
    <s:xf numFmtId="169" fontId="21" fillId="2" borderId="1" xfId="0" applyNumberFormat="1" applyFont="1" applyFill="1" applyBorder="1"/>
    <s:xf numFmtId="169" fontId="21" fillId="0" borderId="0" xfId="0" applyNumberFormat="1" applyFont="1"/>
    <s:xf numFmtId="0" fontId="16" fillId="3" borderId="1" xfId="0" applyNumberFormat="1" applyFont="1" applyFill="1" applyBorder="1" applyAlignment="1" applyProtection="1">
      <s:alignment wrapText="1" mc:Ignorable="vyd"/>
      <s:protection locked="0"/>
    </s:xf>
    <s:xf numFmtId="164" fontId="21" fillId="2" borderId="35" xfId="0" applyFont="1" applyFill="1" applyBorder="1" applyAlignment="1">
      <s:alignment horizontal="center" vertical="center" wrapText="1" mc:Ignorable="vyd"/>
    </s:xf>
    <s:xf numFmtId="164" fontId="21" fillId="2" borderId="36" xfId="0" applyFont="1" applyFill="1" applyBorder="1" applyAlignment="1">
      <s:alignment horizontal="center" vertical="center" wrapText="1" mc:Ignorable="vyd"/>
    </s:xf>
    <s:xf numFmtId="167" fontId="16" fillId="3" borderId="1" xfId="9" applyNumberFormat="1" applyFont="1" applyFill="1" applyBorder="1" applyAlignment="1" applyProtection="1">
      <s:alignment vertical="center" mc:Ignorable="vyd"/>
      <s:protection locked="0"/>
    </s:xf>
    <s:xf numFmtId="9" fontId="16" fillId="3" borderId="1" xfId="8" applyFont="1" applyFill="1" applyBorder="1" applyAlignment="1" applyProtection="1">
      <s:alignment horizontal="right" vertical="center" wrapText="1" mc:Ignorable="vyd"/>
      <s:protection locked="0"/>
    </s:xf>
    <s:xf numFmtId="164" fontId="16" fillId="2" borderId="1" xfId="9" applyNumberFormat="1" applyFont="1" applyFill="1" applyBorder="1" applyAlignment="1">
      <s:alignment vertical="center" mc:Ignorable="vyd"/>
    </s:xf>
    <s:xf numFmtId="164" fontId="21" fillId="0" borderId="0" xfId="0" applyFont="1" applyAlignment="1">
      <s:alignment horizontal="left" vertical="center" mc:Ignorable="vyd"/>
    </s:xf>
    <s:xf numFmtId="164" fontId="16" fillId="0" borderId="0" xfId="9" applyNumberFormat="1" applyFont="1" applyAlignment="1">
      <s:alignment vertical="center" mc:Ignorable="vyd"/>
    </s:xf>
    <s:xf numFmtId="164" fontId="21" fillId="2" borderId="19" xfId="0" applyFont="1" applyFill="1" applyBorder="1" applyAlignment="1">
      <s:alignment horizontal="center" vertical="center" wrapText="1" mc:Ignorable="vyd"/>
    </s:xf>
    <s:xf numFmtId="164" fontId="21" fillId="2" borderId="19" xfId="0" applyFont="1" applyFill="1" applyBorder="1" applyAlignment="1">
      <s:alignment horizontal="center" vertical="center" mc:Ignorable="vyd"/>
    </s:xf>
    <s:xf numFmtId="164" fontId="16" fillId="3" borderId="1" xfId="0" applyFont="1" applyFill="1" applyBorder="1" applyAlignment="1" applyProtection="1">
      <s:alignment vertical="center" wrapText="1" mc:Ignorable="vyd"/>
      <s:protection locked="0"/>
    </s:xf>
    <s:xf numFmtId="9" fontId="16" fillId="3" borderId="1" xfId="8" applyFont="1" applyFill="1" applyBorder="1" applyAlignment="1" applyProtection="1">
      <s:alignment horizontal="right" vertical="center" mc:Ignorable="vyd"/>
      <s:protection locked="0"/>
    </s:xf>
    <s:xf numFmtId="164" fontId="24" fillId="2" borderId="19" xfId="0" applyFont="1" applyFill="1" applyBorder="1" applyAlignment="1">
      <s:alignment horizontal="center" vertical="center" mc:Ignorable="vyd"/>
    </s:xf>
    <s:xf numFmtId="164" fontId="23" fillId="2" borderId="19" xfId="0" applyFont="1" applyFill="1" applyBorder="1" applyAlignment="1">
      <s:alignment horizontal="center" vertical="center" mc:Ignorable="vyd"/>
    </s:xf>
    <s:xf numFmtId="9" fontId="16" fillId="3" borderId="1" xfId="8" applyFont="1" applyFill="1" applyBorder="1" applyProtection="1">
      <s:protection locked="0"/>
    </s:xf>
    <s:xf numFmtId="164" fontId="16" fillId="3" borderId="1" xfId="0" applyFont="1" applyFill="1" applyBorder="1" applyProtection="1">
      <s:protection locked="0"/>
    </s:xf>
    <s:xf numFmtId="164" fontId="16" fillId="0" borderId="0" xfId="0" applyFont="1" applyAlignment="1" applyProtection="1">
      <s:alignment vertical="center" mc:Ignorable="vyd"/>
      <s:protection locked="0"/>
    </s:xf>
    <s:xf numFmtId="164" fontId="21" fillId="0" borderId="0" xfId="0" applyFont="1" applyAlignment="1">
      <s:alignment horizontal="right" vertical="center" mc:Ignorable="vyd"/>
    </s:xf>
    <s:xf numFmtId="164" fontId="16" fillId="0" borderId="0" xfId="0" applyFont="1" applyAlignment="1">
      <s:alignment horizontal="center" vertical="center" mc:Ignorable="vyd"/>
    </s:xf>
    <s:xf numFmtId="164" fontId="13" fillId="0" borderId="0" xfId="0" applyFont="1"/>
    <s:xf numFmtId="17" fontId="21" fillId="9" borderId="5" xfId="0" applyNumberFormat="1" applyFont="1" applyFill="1" applyBorder="1" applyAlignment="1">
      <s:alignment horizontal="center" vertical="center" wrapText="1" mc:Ignorable="vyd"/>
    </s:xf>
    <s:xf numFmtId="17" fontId="21" fillId="9" borderId="1" xfId="0" applyNumberFormat="1" applyFont="1" applyFill="1" applyBorder="1" applyAlignment="1">
      <s:alignment horizontal="center" vertical="center" wrapText="1" mc:Ignorable="vyd"/>
    </s:xf>
    <s:xf numFmtId="17" fontId="21" fillId="9" borderId="2" xfId="0" applyNumberFormat="1" applyFont="1" applyFill="1" applyBorder="1" applyAlignment="1">
      <s:alignment horizontal="center" vertical="center" wrapText="1" mc:Ignorable="vyd"/>
    </s:xf>
    <s:xf numFmtId="164" fontId="21" fillId="2" borderId="6" xfId="0" applyFont="1" applyFill="1" applyBorder="1" applyAlignment="1">
      <s:alignment horizontal="center" vertical="center" wrapText="1" mc:Ignorable="vyd"/>
    </s:xf>
    <s:xf numFmtId="164" fontId="21" fillId="2" borderId="7" xfId="0" applyFont="1" applyFill="1" applyBorder="1" applyAlignment="1">
      <s:alignment horizontal="center" vertical="center" wrapText="1" mc:Ignorable="vyd"/>
    </s:xf>
    <s:xf numFmtId="167" fontId="21" fillId="10" borderId="1" xfId="0" applyNumberFormat="1" applyFont="1" applyFill="1" applyBorder="1" applyAlignment="1">
      <s:alignment horizontal="center" vertical="center" wrapText="1" mc:Ignorable="vyd"/>
    </s:xf>
    <s:xf numFmtId="167" fontId="21" fillId="10" borderId="2" xfId="0" applyNumberFormat="1" applyFont="1" applyFill="1" applyBorder="1" applyAlignment="1">
      <s:alignment horizontal="center" vertical="center" wrapText="1" mc:Ignorable="vyd"/>
    </s:xf>
    <s:xf numFmtId="167" fontId="22" fillId="10" borderId="21" xfId="0" applyNumberFormat="1" applyFont="1" applyFill="1" applyBorder="1" applyAlignment="1">
      <s:alignment vertical="center" mc:Ignorable="vyd"/>
    </s:xf>
    <s:xf numFmtId="167" fontId="22" fillId="10" borderId="22" xfId="0" applyNumberFormat="1" applyFont="1" applyFill="1" applyBorder="1" applyAlignment="1">
      <s:alignment vertical="center" mc:Ignorable="vyd"/>
    </s:xf>
    <s:xf numFmtId="167" fontId="26" fillId="10" borderId="1" xfId="0" applyNumberFormat="1" applyFont="1" applyFill="1" applyBorder="1" applyAlignment="1">
      <s:alignment horizontal="center" vertical="center" wrapText="1" mc:Ignorable="vyd"/>
    </s:xf>
    <s:xf numFmtId="167" fontId="26" fillId="10" borderId="2" xfId="0" applyNumberFormat="1" applyFont="1" applyFill="1" applyBorder="1" applyAlignment="1">
      <s:alignment horizontal="center" vertical="center" wrapText="1" mc:Ignorable="vyd"/>
    </s:xf>
    <s:xf numFmtId="167" fontId="10" fillId="10" borderId="21" xfId="0" applyNumberFormat="1" applyFont="1" applyFill="1" applyBorder="1" applyAlignment="1">
      <s:alignment vertical="center" mc:Ignorable="vyd"/>
    </s:xf>
    <s:xf numFmtId="167" fontId="10" fillId="10" borderId="22" xfId="0" applyNumberFormat="1" applyFont="1" applyFill="1" applyBorder="1" applyAlignment="1">
      <s:alignment vertical="center" mc:Ignorable="vyd"/>
    </s:xf>
    <s:xf numFmtId="167" fontId="26" fillId="3" borderId="1" xfId="7" applyNumberFormat="1" applyFont="1" applyFill="1" applyBorder="1"/>
    <s:xf numFmtId="167" fontId="26" fillId="3" borderId="2" xfId="7" applyNumberFormat="1" applyFont="1" applyFill="1" applyBorder="1"/>
    <s:xf numFmtId="164" fontId="21" fillId="2" borderId="4" xfId="0" applyFont="1" applyFill="1" applyBorder="1" applyAlignment="1">
      <s:alignment vertical="center" wrapText="1" mc:Ignorable="vyd"/>
    </s:xf>
    <s:xf numFmtId="164" fontId="21" fillId="2" borderId="4" xfId="0" applyFont="1" applyFill="1" applyBorder="1" applyAlignment="1">
      <s:alignment horizontal="center" vertical="center" wrapText="1" mc:Ignorable="vyd"/>
    </s:xf>
    <s:xf numFmtId="1" fontId="21" fillId="2" borderId="21" xfId="0" applyNumberFormat="1" applyFont="1" applyFill="1" applyBorder="1" applyAlignment="1">
      <s:alignment horizontal="center" vertical="center" wrapText="1" mc:Ignorable="vyd"/>
    </s:xf>
    <s:xf numFmtId="1" fontId="21" fillId="2" borderId="22" xfId="0" applyNumberFormat="1" applyFont="1" applyFill="1" applyBorder="1" applyAlignment="1">
      <s:alignment horizontal="center" vertical="center" wrapText="1" mc:Ignorable="vyd"/>
    </s:xf>
    <s:xf numFmtId="164" fontId="26" fillId="9" borderId="1" xfId="0" applyFont="1" applyFill="1" applyBorder="1" applyAlignment="1">
      <s:alignment horizontal="left" indent="1" mc:Ignorable="vyd"/>
    </s:xf>
    <s:xf numFmtId="167" fontId="26" fillId="9" borderId="1" xfId="0" applyNumberFormat="1" applyFont="1" applyFill="1" applyBorder="1"/>
    <s:xf numFmtId="0" fontId="26" fillId="3" borderId="1" xfId="0" applyNumberFormat="1" applyFont="1" applyFill="1" applyBorder="1"/>
    <s:xf numFmtId="0" fontId="26" fillId="3" borderId="2" xfId="0" applyNumberFormat="1" applyFont="1" applyFill="1" applyBorder="1"/>
    <s:xf numFmtId="1" fontId="26" fillId="9" borderId="21" xfId="0" applyNumberFormat="1" applyFont="1" applyFill="1" applyBorder="1" applyAlignment="1">
      <s:alignment horizontal="center" mc:Ignorable="vyd"/>
    </s:xf>
    <s:xf numFmtId="1" fontId="26" fillId="9" borderId="22" xfId="0" applyNumberFormat="1" applyFont="1" applyFill="1" applyBorder="1" applyAlignment="1">
      <s:alignment horizontal="center" mc:Ignorable="vyd"/>
    </s:xf>
    <s:xf numFmtId="164" fontId="27" fillId="0" borderId="0" xfId="0" applyFont="1"/>
    <s:xf numFmtId="164" fontId="28" fillId="2" borderId="1" xfId="0" applyFont="1" applyFill="1" applyBorder="1" applyAlignment="1">
      <s:alignment horizontal="center" vertical="center" mc:Ignorable="vyd"/>
    </s:xf>
    <s:xf numFmtId="14" fontId="22" fillId="3" borderId="1" xfId="0" applyNumberFormat="1" applyFont="1" applyFill="1" applyBorder="1" applyAlignment="1">
      <s:alignment horizontal="center" vertical="center" wrapText="1" mc:Ignorable="vyd"/>
    </s:xf>
    <s:xf numFmtId="164" fontId="18" fillId="2" borderId="1" xfId="0" applyFont="1" applyFill="1" applyBorder="1" applyAlignment="1">
      <s:alignment horizontal="center" wrapText="1" mc:Ignorable="vyd"/>
    </s:xf>
    <s:xf numFmtId="9" fontId="22" fillId="3" borderId="1" xfId="8" applyFont="1" applyFill="1" applyBorder="1" applyAlignment="1">
      <s:alignment horizontal="center" vertical="center" wrapText="1" mc:Ignorable="vyd"/>
    </s:xf>
    <s:xf numFmtId="164" fontId="29" fillId="0" borderId="0" xfId="0" applyFont="1" applyAlignment="1">
      <s:alignment vertical="center" wrapText="1" mc:Ignorable="vyd"/>
    </s:xf>
    <s:xf numFmtId="164" fontId="29" fillId="5" borderId="6" xfId="0" applyFont="1" applyFill="1" applyBorder="1" applyAlignment="1">
      <s:alignment horizontal="center" vertical="center" wrapText="1" mc:Ignorable="vyd"/>
    </s:xf>
    <s:xf numFmtId="164" fontId="29" fillId="5" borderId="38" xfId="0" applyFont="1" applyFill="1" applyBorder="1" applyAlignment="1">
      <s:alignment horizontal="center" vertical="center" wrapText="1" mc:Ignorable="vyd"/>
    </s:xf>
    <s:xf numFmtId="164" fontId="29" fillId="5" borderId="7" xfId="0" applyFont="1" applyFill="1" applyBorder="1" applyAlignment="1">
      <s:alignment horizontal="center" vertical="center" wrapText="1" mc:Ignorable="vyd"/>
    </s:xf>
    <s:xf numFmtId="17" fontId="29" fillId="9" borderId="5" xfId="0" applyNumberFormat="1" applyFont="1" applyFill="1" applyBorder="1" applyAlignment="1">
      <s:alignment horizontal="center" vertical="center" wrapText="1" mc:Ignorable="vyd"/>
    </s:xf>
    <s:xf numFmtId="17" fontId="29" fillId="9" borderId="38" xfId="0" applyNumberFormat="1" applyFont="1" applyFill="1" applyBorder="1" applyAlignment="1">
      <s:alignment horizontal="center" vertical="center" wrapText="1" mc:Ignorable="vyd"/>
    </s:xf>
    <s:xf numFmtId="17" fontId="29" fillId="9" borderId="33" xfId="0" applyNumberFormat="1" applyFont="1" applyFill="1" applyBorder="1" applyAlignment="1">
      <s:alignment horizontal="center" vertical="center" wrapText="1" mc:Ignorable="vyd"/>
    </s:xf>
    <s:xf numFmtId="164" fontId="29" fillId="11" borderId="7" xfId="0" applyFont="1" applyFill="1" applyBorder="1" applyAlignment="1">
      <s:alignment horizontal="center" vertical="center" wrapText="1" mc:Ignorable="vyd"/>
    </s:xf>
    <s:xf numFmtId="164" fontId="6" fillId="5" borderId="39" xfId="0" applyFont="1" applyFill="1" applyBorder="1" applyAlignment="1">
      <s:alignment horizontal="left" vertical="center" wrapText="1" mc:Ignorable="vyd"/>
    </s:xf>
    <s:xf numFmtId="164" fontId="29" fillId="5" borderId="40" xfId="0" applyFont="1" applyFill="1" applyBorder="1" applyAlignment="1">
      <s:alignment horizontal="center" vertical="center" wrapText="1" mc:Ignorable="vyd"/>
    </s:xf>
    <s:xf numFmtId="164" fontId="29" fillId="5" borderId="41" xfId="0" applyFont="1" applyFill="1" applyBorder="1" applyAlignment="1">
      <s:alignment horizontal="center" vertical="center" wrapText="1" mc:Ignorable="vyd"/>
    </s:xf>
    <s:xf numFmtId="164" fontId="14" fillId="3" borderId="14" xfId="8" applyNumberFormat="1" applyFont="1" applyFill="1" applyBorder="1" applyAlignment="1">
      <s:alignment horizontal="right" vertical="center" wrapText="1" mc:Ignorable="vyd"/>
    </s:xf>
    <s:xf numFmtId="9" fontId="0" fillId="12" borderId="12" xfId="8" applyFont="1" applyFill="1" applyBorder="1" applyAlignment="1">
      <s:alignment horizontal="right" vertical="center" wrapText="1" mc:Ignorable="vyd"/>
    </s:xf>
    <s:xf numFmtId="9" fontId="0" fillId="12" borderId="26" xfId="8" applyFont="1" applyFill="1" applyBorder="1" applyAlignment="1">
      <s:alignment horizontal="right" vertical="center" wrapText="1" mc:Ignorable="vyd"/>
    </s:xf>
    <s:xf numFmtId="9" fontId="7" fillId="13" borderId="13" xfId="8" applyFont="1" applyFill="1" applyBorder="1" applyAlignment="1">
      <s:alignment horizontal="right" vertical="center" wrapText="1" mc:Ignorable="vyd"/>
    </s:xf>
    <s:xf numFmtId="164" fontId="13" fillId="0" borderId="0" xfId="0" applyFont="1" applyAlignment="1">
      <s:alignment vertical="center" wrapText="1" mc:Ignorable="vyd"/>
    </s:xf>
    <s:xf numFmtId="164" fontId="21" fillId="2" borderId="6" xfId="0" applyFont="1" applyFill="1" applyBorder="1" applyAlignment="1">
      <s:alignment horizontal="left" vertical="center" wrapText="1" mc:Ignorable="vyd"/>
    </s:xf>
    <s:xf numFmtId="164" fontId="21" fillId="2" borderId="38" xfId="0" applyFont="1" applyFill="1" applyBorder="1" applyAlignment="1">
      <s:alignment horizontal="center" vertical="center" wrapText="1" mc:Ignorable="vyd"/>
    </s:xf>
    <s:xf numFmtId="171" fontId="15" fillId="2" borderId="3" xfId="0" applyNumberFormat="1" applyFont="1" applyFill="1" applyBorder="1" applyAlignment="1">
      <s:alignment vertical="center" wrapText="1" mc:Ignorable="vyd"/>
    </s:xf>
    <s:xf numFmtId="171" fontId="15" fillId="2" borderId="1" xfId="0" applyNumberFormat="1" applyFont="1" applyFill="1" applyBorder="1" applyAlignment="1">
      <s:alignment vertical="center" wrapText="1" mc:Ignorable="vyd"/>
    </s:xf>
    <s:xf numFmtId="171" fontId="15" fillId="2" borderId="2" xfId="0" applyNumberFormat="1" applyFont="1" applyFill="1" applyBorder="1" applyAlignment="1">
      <s:alignment vertical="center" wrapText="1" mc:Ignorable="vyd"/>
    </s:xf>
    <s:xf numFmtId="171" fontId="15" fillId="2" borderId="21" xfId="0" applyNumberFormat="1" applyFont="1" applyFill="1" applyBorder="1" applyAlignment="1">
      <s:alignment vertical="center" wrapText="1" mc:Ignorable="vyd"/>
    </s:xf>
    <s:xf numFmtId="9" fontId="7" fillId="13" borderId="22" xfId="8" applyFont="1" applyFill="1" applyBorder="1" applyAlignment="1">
      <s:alignment horizontal="right" vertical="center" wrapText="1" mc:Ignorable="vyd"/>
    </s:xf>
    <s:xf numFmtId="164" fontId="0" fillId="0" borderId="0" xfId="0" applyAlignment="1">
      <s:alignment wrapText="1" mc:Ignorable="vyd"/>
    </s:xf>
    <s:xf numFmtId="164" fontId="16" fillId="2" borderId="21" xfId="0" applyFont="1" applyFill="1" applyBorder="1" applyAlignment="1">
      <s:alignment horizontal="left" vertical="center" wrapText="1" indent="1" mc:Ignorable="vyd"/>
    </s:xf>
    <s:xf numFmtId="9" fontId="0" fillId="12" borderId="1" xfId="8" applyFont="1" applyFill="1" applyBorder="1" applyAlignment="1">
      <s:alignment horizontal="right" vertical="center" wrapText="1" mc:Ignorable="vyd"/>
    </s:xf>
    <s:xf numFmtId="9" fontId="0" fillId="12" borderId="22" xfId="8" applyFont="1" applyFill="1" applyBorder="1" applyAlignment="1">
      <s:alignment horizontal="right" vertical="center" wrapText="1" mc:Ignorable="vyd"/>
    </s:xf>
    <s:xf numFmtId="9" fontId="27" fillId="3" borderId="18" xfId="8" applyFont="1" applyFill="1" applyBorder="1" applyAlignment="1">
      <s:alignment horizontal="right" vertical="center" wrapText="1" mc:Ignorable="vyd"/>
    </s:xf>
    <s:xf numFmtId="9" fontId="0" fillId="12" borderId="16" xfId="8" applyFont="1" applyFill="1" applyBorder="1" applyAlignment="1">
      <s:alignment horizontal="right" vertical="center" wrapText="1" mc:Ignorable="vyd"/>
    </s:xf>
    <s:xf numFmtId="9" fontId="0" fillId="12" borderId="19" xfId="8" applyFont="1" applyFill="1" applyBorder="1" applyAlignment="1">
      <s:alignment horizontal="right" vertical="center" wrapText="1" mc:Ignorable="vyd"/>
    </s:xf>
    <s:xf numFmtId="9" fontId="7" fillId="13" borderId="17" xfId="8" applyFont="1" applyFill="1" applyBorder="1" applyAlignment="1">
      <s:alignment horizontal="right" vertical="center" wrapText="1" mc:Ignorable="vyd"/>
    </s:xf>
    <s:xf numFmtId="164" fontId="21" fillId="2" borderId="21" xfId="0" applyFont="1" applyFill="1" applyBorder="1" applyAlignment="1">
      <s:alignment horizontal="left" vertical="center" wrapText="1" mc:Ignorable="vyd"/>
    </s:xf>
    <s:xf numFmtId="167" fontId="21" fillId="2" borderId="1" xfId="0" applyNumberFormat="1" applyFont="1" applyFill="1" applyBorder="1" applyAlignment="1">
      <s:alignment horizontal="center" vertical="center" wrapText="1" mc:Ignorable="vyd"/>
    </s:xf>
    <s:xf numFmtId="167" fontId="21" fillId="2" borderId="22" xfId="0" applyNumberFormat="1" applyFont="1" applyFill="1" applyBorder="1" applyAlignment="1">
      <s:alignment horizontal="center" vertical="center" wrapText="1" mc:Ignorable="vyd"/>
    </s:xf>
    <s:xf numFmtId="167" fontId="15" fillId="2" borderId="3" xfId="0" applyNumberFormat="1" applyFont="1" applyFill="1" applyBorder="1" applyAlignment="1">
      <s:alignment vertical="center" wrapText="1" mc:Ignorable="vyd"/>
    </s:xf>
    <s:xf numFmtId="167" fontId="15" fillId="2" borderId="1" xfId="0" applyNumberFormat="1" applyFont="1" applyFill="1" applyBorder="1" applyAlignment="1">
      <s:alignment vertical="center" wrapText="1" mc:Ignorable="vyd"/>
    </s:xf>
    <s:xf numFmtId="167" fontId="15" fillId="2" borderId="2" xfId="0" applyNumberFormat="1" applyFont="1" applyFill="1" applyBorder="1" applyAlignment="1">
      <s:alignment vertical="center" wrapText="1" mc:Ignorable="vyd"/>
    </s:xf>
    <s:xf numFmtId="167" fontId="15" fillId="2" borderId="21" xfId="0" applyNumberFormat="1" applyFont="1" applyFill="1" applyBorder="1" applyAlignment="1">
      <s:alignment vertical="center" wrapText="1" mc:Ignorable="vyd"/>
    </s:xf>
    <s:xf numFmtId="164" fontId="27" fillId="0" borderId="0" xfId="0" applyFont="1" applyAlignment="1">
      <s:alignment wrapText="1" mc:Ignorable="vyd"/>
    </s:xf>
    <s:xf numFmtId="164" fontId="26" fillId="0" borderId="21" xfId="0" applyFont="1" applyBorder="1" applyAlignment="1">
      <s:alignment horizontal="left" vertical="center" wrapText="1" indent="2" mc:Ignorable="vyd"/>
    </s:xf>
    <s:xf numFmtId="167" fontId="26" fillId="0" borderId="1" xfId="0" applyNumberFormat="1" applyFont="1" applyBorder="1" applyAlignment="1">
      <s:alignment vertical="center" wrapText="1" mc:Ignorable="vyd"/>
    </s:xf>
    <s:xf numFmtId="167" fontId="26" fillId="0" borderId="22" xfId="0" applyNumberFormat="1" applyFont="1" applyBorder="1" applyAlignment="1">
      <s:alignment vertical="center" wrapText="1" mc:Ignorable="vyd"/>
    </s:xf>
    <s:xf numFmtId="167" fontId="27" fillId="0" borderId="3" xfId="0" applyNumberFormat="1" applyFont="1" applyBorder="1" applyAlignment="1">
      <s:alignment vertical="center" wrapText="1" mc:Ignorable="vyd"/>
    </s:xf>
    <s:xf numFmtId="167" fontId="27" fillId="0" borderId="21" xfId="0" applyNumberFormat="1" applyFont="1" applyBorder="1" applyAlignment="1">
      <s:alignment vertical="center" wrapText="1" mc:Ignorable="vyd"/>
    </s:xf>
    <s:xf numFmtId="167" fontId="27" fillId="0" borderId="1" xfId="0" applyNumberFormat="1" applyFont="1" applyBorder="1" applyAlignment="1">
      <s:alignment vertical="center" wrapText="1" mc:Ignorable="vyd"/>
    </s:xf>
    <s:xf numFmtId="167" fontId="29" fillId="3" borderId="1" xfId="0" applyNumberFormat="1" applyFont="1" applyFill="1" applyBorder="1" applyAlignment="1">
      <s:alignment vertical="center" wrapText="1" mc:Ignorable="vyd"/>
    </s:xf>
    <s:xf numFmtId="167" fontId="29" fillId="4" borderId="1" xfId="0" applyNumberFormat="1" applyFont="1" applyFill="1" applyBorder="1" applyAlignment="1">
      <s:alignment vertical="center" wrapText="1" mc:Ignorable="vyd"/>
    </s:xf>
    <s:xf numFmtId="167" fontId="29" fillId="4" borderId="22" xfId="0" applyNumberFormat="1" applyFont="1" applyFill="1" applyBorder="1" applyAlignment="1">
      <s:alignment vertical="center" wrapText="1" mc:Ignorable="vyd"/>
    </s:xf>
    <s:xf numFmtId="167" fontId="29" fillId="3" borderId="3" xfId="0" applyNumberFormat="1" applyFont="1" applyFill="1" applyBorder="1" applyAlignment="1">
      <s:alignment vertical="center" wrapText="1" mc:Ignorable="vyd"/>
    </s:xf>
    <s:xf numFmtId="167" fontId="29" fillId="3" borderId="2" xfId="0" applyNumberFormat="1" applyFont="1" applyFill="1" applyBorder="1" applyAlignment="1">
      <s:alignment vertical="center" wrapText="1" mc:Ignorable="vyd"/>
    </s:xf>
    <s:xf numFmtId="167" fontId="29" fillId="4" borderId="21" xfId="0" applyNumberFormat="1" applyFont="1" applyFill="1" applyBorder="1" applyAlignment="1">
      <s:alignment vertical="center" wrapText="1" mc:Ignorable="vyd"/>
    </s:xf>
    <s:xf numFmtId="167" fontId="18" fillId="10" borderId="22" xfId="0" applyNumberFormat="1" applyFont="1" applyFill="1" applyBorder="1" applyAlignment="1">
      <s:alignment horizontal="right" vertical="center" wrapText="1" mc:Ignorable="vyd"/>
    </s:xf>
    <s:xf numFmtId="167" fontId="27" fillId="0" borderId="3" xfId="8" applyNumberFormat="1" applyFont="1" applyBorder="1"/>
    <s:xf numFmtId="167" fontId="27" fillId="11" borderId="22" xfId="0" applyNumberFormat="1" applyFont="1" applyFill="1" applyBorder="1" applyAlignment="1">
      <s:alignment horizontal="right" vertical="center" wrapText="1" mc:Ignorable="vyd"/>
    </s:xf>
    <s:xf numFmtId="167" fontId="29" fillId="2" borderId="1" xfId="0" applyNumberFormat="1" applyFont="1" applyFill="1" applyBorder="1" applyAlignment="1">
      <s:alignment horizontal="center" vertical="center" wrapText="1" mc:Ignorable="vyd"/>
    </s:xf>
    <s:xf numFmtId="167" fontId="29" fillId="2" borderId="22" xfId="0" applyNumberFormat="1" applyFont="1" applyFill="1" applyBorder="1" applyAlignment="1">
      <s:alignment horizontal="center" vertical="center" wrapText="1" mc:Ignorable="vyd"/>
    </s:xf>
    <s:xf numFmtId="167" fontId="29" fillId="2" borderId="3" xfId="0" applyNumberFormat="1" applyFont="1" applyFill="1" applyBorder="1" applyAlignment="1">
      <s:alignment horizontal="center" vertical="center" wrapText="1" mc:Ignorable="vyd"/>
    </s:xf>
    <s:xf numFmtId="9" fontId="27" fillId="13" borderId="22" xfId="8" applyFont="1" applyFill="1" applyBorder="1" applyAlignment="1">
      <s:alignment horizontal="right" vertical="center" wrapText="1" mc:Ignorable="vyd"/>
    </s:xf>
    <s:xf numFmtId="164" fontId="26" fillId="0" borderId="21" xfId="0" applyFont="1" applyBorder="1" applyAlignment="1">
      <s:alignment horizontal="left" vertical="center" wrapText="1" indent="1" mc:Ignorable="vyd"/>
    </s:xf>
    <s:xf numFmtId="167" fontId="26" fillId="3" borderId="1" xfId="0" applyNumberFormat="1" applyFont="1" applyFill="1" applyBorder="1" applyAlignment="1">
      <s:alignment vertical="center" wrapText="1" mc:Ignorable="vyd"/>
    </s:xf>
    <s:xf numFmtId="167" fontId="26" fillId="3" borderId="3" xfId="0" applyNumberFormat="1" applyFont="1" applyFill="1" applyBorder="1" applyAlignment="1">
      <s:alignment vertical="center" wrapText="1" mc:Ignorable="vyd"/>
    </s:xf>
    <s:xf numFmtId="167" fontId="26" fillId="3" borderId="2" xfId="0" applyNumberFormat="1" applyFont="1" applyFill="1" applyBorder="1" applyAlignment="1">
      <s:alignment vertical="center" wrapText="1" mc:Ignorable="vyd"/>
    </s:xf>
    <s:xf numFmtId="164" fontId="13" fillId="0" borderId="0" xfId="0" applyFont="1" applyAlignment="1">
      <s:alignment wrapText="1" mc:Ignorable="vyd"/>
    </s:xf>
    <s:xf numFmtId="167" fontId="21" fillId="2" borderId="1" xfId="0" applyNumberFormat="1" applyFont="1" applyFill="1" applyBorder="1" applyAlignment="1">
      <s:alignment vertical="center" wrapText="1" mc:Ignorable="vyd"/>
    </s:xf>
    <s:xf numFmtId="167" fontId="21" fillId="2" borderId="22" xfId="0" applyNumberFormat="1" applyFont="1" applyFill="1" applyBorder="1" applyAlignment="1">
      <s:alignment vertical="center" wrapText="1" mc:Ignorable="vyd"/>
    </s:xf>
    <s:xf numFmtId="167" fontId="21" fillId="2" borderId="3" xfId="0" applyNumberFormat="1" applyFont="1" applyFill="1" applyBorder="1" applyAlignment="1">
      <s:alignment vertical="center" wrapText="1" mc:Ignorable="vyd"/>
    </s:xf>
    <s:xf numFmtId="167" fontId="21" fillId="2" borderId="2" xfId="0" applyNumberFormat="1" applyFont="1" applyFill="1" applyBorder="1" applyAlignment="1">
      <s:alignment vertical="center" wrapText="1" mc:Ignorable="vyd"/>
    </s:xf>
    <s:xf numFmtId="167" fontId="21" fillId="2" borderId="21" xfId="0" applyNumberFormat="1" applyFont="1" applyFill="1" applyBorder="1" applyAlignment="1">
      <s:alignment vertical="center" wrapText="1" mc:Ignorable="vyd"/>
    </s:xf>
    <s:xf numFmtId="167" fontId="15" fillId="14" borderId="22" xfId="0" applyNumberFormat="1" applyFont="1" applyFill="1" applyBorder="1" applyAlignment="1">
      <s:alignment horizontal="right" vertical="center" wrapText="1" mc:Ignorable="vyd"/>
    </s:xf>
    <s:xf numFmtId="164" fontId="29" fillId="4" borderId="21" xfId="0" applyFont="1" applyFill="1" applyBorder="1" applyAlignment="1">
      <s:alignment horizontal="left" vertical="center" wrapText="1" indent="1" mc:Ignorable="vyd"/>
    </s:xf>
    <s:xf numFmtId="167" fontId="29" fillId="4" borderId="3" xfId="0" applyNumberFormat="1" applyFont="1" applyFill="1" applyBorder="1" applyAlignment="1">
      <s:alignment vertical="center" wrapText="1" mc:Ignorable="vyd"/>
    </s:xf>
    <s:xf numFmtId="164" fontId="29" fillId="0" borderId="0" xfId="0" applyFont="1" applyAlignment="1">
      <s:alignment wrapText="1" mc:Ignorable="vyd"/>
    </s:xf>
    <s:xf numFmtId="167" fontId="26" fillId="0" borderId="3" xfId="0" applyNumberFormat="1" applyFont="1" applyBorder="1" applyAlignment="1">
      <s:alignment vertical="center" wrapText="1" mc:Ignorable="vyd"/>
    </s:xf>
    <s:xf numFmtId="167" fontId="27" fillId="3" borderId="1" xfId="0" applyNumberFormat="1" applyFont="1" applyFill="1" applyBorder="1" applyAlignment="1">
      <s:alignment vertical="center" wrapText="1" mc:Ignorable="vyd"/>
    </s:xf>
    <s:xf numFmtId="167" fontId="18" fillId="4" borderId="21" xfId="0" applyNumberFormat="1" applyFont="1" applyFill="1" applyBorder="1" applyAlignment="1">
      <s:alignment vertical="center" wrapText="1" mc:Ignorable="vyd"/>
    </s:xf>
    <s:xf numFmtId="167" fontId="18" fillId="4" borderId="1" xfId="0" applyNumberFormat="1" applyFont="1" applyFill="1" applyBorder="1" applyAlignment="1">
      <s:alignment vertical="center" wrapText="1" mc:Ignorable="vyd"/>
    </s:xf>
    <s:xf numFmtId="167" fontId="18" fillId="4" borderId="22" xfId="0" applyNumberFormat="1" applyFont="1" applyFill="1" applyBorder="1" applyAlignment="1">
      <s:alignment vertical="center" wrapText="1" mc:Ignorable="vyd"/>
    </s:xf>
    <s:xf numFmtId="167" fontId="18" fillId="4" borderId="3" xfId="0" applyNumberFormat="1" applyFont="1" applyFill="1" applyBorder="1" applyAlignment="1">
      <s:alignment vertical="center" wrapText="1" mc:Ignorable="vyd"/>
    </s:xf>
    <s:xf numFmtId="164" fontId="21" fillId="0" borderId="0" xfId="0" applyFont="1" applyAlignment="1">
      <s:alignment wrapText="1" mc:Ignorable="vyd"/>
    </s:xf>
    <s:xf numFmtId="164" fontId="21" fillId="2" borderId="21" xfId="0" applyFont="1" applyFill="1" applyBorder="1" applyAlignment="1">
      <s:alignment wrapText="1" mc:Ignorable="vyd"/>
    </s:xf>
    <s:xf numFmtId="167" fontId="21" fillId="14" borderId="22" xfId="0" applyNumberFormat="1" applyFont="1" applyFill="1" applyBorder="1" applyAlignment="1">
      <s:alignment horizontal="right" wrapText="1" mc:Ignorable="vyd"/>
    </s:xf>
    <s:xf numFmtId="164" fontId="29" fillId="0" borderId="21" xfId="0" applyFont="1" applyBorder="1" applyAlignment="1">
      <s:alignment horizontal="left" vertical="center" wrapText="1" indent="1" mc:Ignorable="vyd"/>
    </s:xf>
    <s:xf numFmtId="167" fontId="27" fillId="0" borderId="22" xfId="0" applyNumberFormat="1" applyFont="1" applyBorder="1" applyAlignment="1">
      <s:alignment vertical="center" wrapText="1" mc:Ignorable="vyd"/>
    </s:xf>
    <s:xf numFmtId="167" fontId="27" fillId="11" borderId="22" xfId="0" applyNumberFormat="1" applyFont="1" applyFill="1" applyBorder="1" applyAlignment="1">
      <s:alignment horizontal="right" wrapText="1" mc:Ignorable="vyd"/>
    </s:xf>
    <s:xf numFmtId="167" fontId="27" fillId="0" borderId="1" xfId="0" applyNumberFormat="1" applyFont="1" applyBorder="1" applyAlignment="1">
      <s:alignment vertical="center" mc:Ignorable="vyd"/>
    </s:xf>
    <s:xf numFmtId="167" fontId="27" fillId="0" borderId="22" xfId="0" applyNumberFormat="1" applyFont="1" applyBorder="1" applyAlignment="1">
      <s:alignment vertical="center" mc:Ignorable="vyd"/>
    </s:xf>
    <s:xf numFmtId="167" fontId="27" fillId="0" borderId="3" xfId="0" applyNumberFormat="1" applyFont="1" applyBorder="1" applyAlignment="1">
      <s:alignment vertical="center" mc:Ignorable="vyd"/>
    </s:xf>
    <s:xf numFmtId="167" fontId="27" fillId="11" borderId="22" xfId="0" applyNumberFormat="1" applyFont="1" applyFill="1" applyBorder="1" applyAlignment="1">
      <s:alignment horizontal="right" mc:Ignorable="vyd"/>
    </s:xf>
    <s:xf numFmtId="9" fontId="21" fillId="2" borderId="1" xfId="8" applyFont="1" applyFill="1" applyBorder="1" applyAlignment="1">
      <s:alignment vertical="center" wrapText="1" mc:Ignorable="vyd"/>
    </s:xf>
    <s:xf numFmtId="9" fontId="21" fillId="2" borderId="22" xfId="8" applyFont="1" applyFill="1" applyBorder="1" applyAlignment="1">
      <s:alignment vertical="center" wrapText="1" mc:Ignorable="vyd"/>
    </s:xf>
    <s:xf numFmtId="9" fontId="21" fillId="2" borderId="3" xfId="8" applyFont="1" applyFill="1" applyBorder="1" applyAlignment="1">
      <s:alignment vertical="center" wrapText="1" mc:Ignorable="vyd"/>
    </s:xf>
    <s:xf numFmtId="9" fontId="21" fillId="2" borderId="2" xfId="8" applyFont="1" applyFill="1" applyBorder="1" applyAlignment="1">
      <s:alignment vertical="center" wrapText="1" mc:Ignorable="vyd"/>
    </s:xf>
    <s:xf numFmtId="9" fontId="21" fillId="2" borderId="21" xfId="8" applyFont="1" applyFill="1" applyBorder="1" applyAlignment="1">
      <s:alignment vertical="center" wrapText="1" mc:Ignorable="vyd"/>
    </s:xf>
    <s:xf numFmtId="9" fontId="21" fillId="14" borderId="22" xfId="8" applyFont="1" applyFill="1" applyBorder="1" applyAlignment="1">
      <s:alignment horizontal="right" wrapText="1" mc:Ignorable="vyd"/>
    </s:xf>
    <s:xf numFmtId="9" fontId="27" fillId="0" borderId="1" xfId="8" applyFont="1" applyBorder="1" applyAlignment="1">
      <s:alignment vertical="center" wrapText="1" mc:Ignorable="vyd"/>
    </s:xf>
    <s:xf numFmtId="9" fontId="27" fillId="0" borderId="22" xfId="8" applyFont="1" applyBorder="1" applyAlignment="1">
      <s:alignment vertical="center" wrapText="1" mc:Ignorable="vyd"/>
    </s:xf>
    <s:xf numFmtId="9" fontId="27" fillId="0" borderId="3" xfId="8" applyFont="1" applyBorder="1" applyAlignment="1">
      <s:alignment vertical="center" wrapText="1" mc:Ignorable="vyd"/>
    </s:xf>
    <s:xf numFmtId="9" fontId="27" fillId="0" borderId="2" xfId="8" applyFont="1" applyBorder="1" applyAlignment="1">
      <s:alignment vertical="center" wrapText="1" mc:Ignorable="vyd"/>
    </s:xf>
    <s:xf numFmtId="9" fontId="27" fillId="0" borderId="21" xfId="8" applyFont="1" applyBorder="1" applyAlignment="1">
      <s:alignment vertical="center" wrapText="1" mc:Ignorable="vyd"/>
    </s:xf>
    <s:xf numFmtId="9" fontId="27" fillId="11" borderId="22" xfId="8" applyFont="1" applyFill="1" applyBorder="1" applyAlignment="1">
      <s:alignment horizontal="right" wrapText="1" mc:Ignorable="vyd"/>
    </s:xf>
    <s:xf numFmtId="9" fontId="27" fillId="0" borderId="1" xfId="8" applyFont="1" applyBorder="1" applyAlignment="1">
      <s:alignment vertical="center" mc:Ignorable="vyd"/>
    </s:xf>
    <s:xf numFmtId="9" fontId="27" fillId="0" borderId="22" xfId="8" applyFont="1" applyBorder="1" applyAlignment="1">
      <s:alignment vertical="center" mc:Ignorable="vyd"/>
    </s:xf>
    <s:xf numFmtId="164" fontId="22" fillId="0" borderId="0" xfId="0" applyFont="1" applyAlignment="1">
      <s:alignment wrapText="1" mc:Ignorable="vyd"/>
    </s:xf>
    <s:xf numFmtId="164" fontId="22" fillId="2" borderId="12" xfId="0" applyFont="1" applyFill="1" applyBorder="1" applyAlignment="1">
      <s:alignment wrapText="1" mc:Ignorable="vyd"/>
    </s:xf>
    <s:xf numFmtId="167" fontId="22" fillId="2" borderId="26" xfId="8" applyNumberFormat="1" applyFont="1" applyFill="1" applyBorder="1" applyAlignment="1">
      <s:alignment vertical="center" wrapText="1" mc:Ignorable="vyd"/>
    </s:xf>
    <s:xf numFmtId="9" fontId="30" fillId="12" borderId="26" xfId="8" applyFont="1" applyFill="1" applyBorder="1" applyAlignment="1">
      <s:alignment horizontal="right" vertical="center" wrapText="1" mc:Ignorable="vyd"/>
    </s:xf>
    <s:xf numFmtId="9" fontId="30" fillId="12" borderId="13" xfId="8" applyFont="1" applyFill="1" applyBorder="1" applyAlignment="1">
      <s:alignment horizontal="right" vertical="center" wrapText="1" mc:Ignorable="vyd"/>
    </s:xf>
    <s:xf numFmtId="167" fontId="22" fillId="2" borderId="3" xfId="8" applyNumberFormat="1" applyFont="1" applyFill="1" applyBorder="1" applyAlignment="1">
      <s:alignment vertical="center" wrapText="1" mc:Ignorable="vyd"/>
    </s:xf>
    <s:xf numFmtId="167" fontId="22" fillId="2" borderId="1" xfId="8" applyNumberFormat="1" applyFont="1" applyFill="1" applyBorder="1" applyAlignment="1">
      <s:alignment vertical="center" wrapText="1" mc:Ignorable="vyd"/>
    </s:xf>
    <s:xf numFmtId="167" fontId="22" fillId="2" borderId="2" xfId="8" applyNumberFormat="1" applyFont="1" applyFill="1" applyBorder="1" applyAlignment="1">
      <s:alignment vertical="center" wrapText="1" mc:Ignorable="vyd"/>
    </s:xf>
    <s:xf numFmtId="9" fontId="30" fillId="12" borderId="12" xfId="8" applyFont="1" applyFill="1" applyBorder="1" applyAlignment="1">
      <s:alignment horizontal="right" vertical="center" wrapText="1" mc:Ignorable="vyd"/>
    </s:xf>
    <s:xf numFmtId="9" fontId="30" fillId="13" borderId="13" xfId="8" applyFont="1" applyFill="1" applyBorder="1" applyAlignment="1">
      <s:alignment horizontal="right" vertical="center" wrapText="1" mc:Ignorable="vyd"/>
    </s:xf>
    <s:xf numFmtId="164" fontId="14" fillId="7" borderId="1" xfId="0" applyFont="1" applyFill="1" applyBorder="1" applyAlignment="1">
      <s:alignment horizontal="center" mc:Ignorable="vyd"/>
    </s:xf>
    <s:xf numFmtId="17" fontId="10" fillId="0" borderId="1" xfId="0" applyNumberFormat="1" applyFont="1" applyBorder="1" applyAlignment="1">
      <s:alignment horizontal="center" vertical="center" wrapText="1" mc:Ignorable="vyd"/>
    </s:xf>
    <s:xf numFmtId="164" fontId="21" fillId="2" borderId="32" xfId="0" applyFont="1" applyFill="1" applyBorder="1" applyAlignment="1">
      <s:alignment horizontal="center" vertical="center" wrapText="1" mc:Ignorable="vyd"/>
    </s:xf>
    <s:xf numFmtId="164" fontId="16" fillId="3" borderId="2" xfId="0" applyFont="1" applyFill="1" applyBorder="1" applyAlignment="1" applyProtection="1">
      <s:alignment horizontal="left" mc:Ignorable="vyd"/>
      <s:protection locked="0"/>
    </s:xf>
    <s:xf numFmtId="164" fontId="16" fillId="3" borderId="34" xfId="0" applyFont="1" applyFill="1" applyBorder="1" applyAlignment="1" applyProtection="1">
      <s:alignment horizontal="left" mc:Ignorable="vyd"/>
      <s:protection locked="0"/>
    </s:xf>
    <s:xf numFmtId="164" fontId="16" fillId="3" borderId="3" xfId="0" applyFont="1" applyFill="1" applyBorder="1" applyAlignment="1" applyProtection="1">
      <s:alignment horizontal="left" mc:Ignorable="vyd"/>
      <s:protection locked="0"/>
    </s:xf>
    <s:xf numFmtId="167" fontId="16" fillId="4" borderId="26" xfId="9" applyNumberFormat="1" applyFont="1" applyFill="1" applyBorder="1" applyAlignment="1" applyProtection="1">
      <s:alignment horizontal="center" vertical="center" mc:Ignorable="vyd"/>
      <s:protection locked="0"/>
    </s:xf>
    <s:xf numFmtId="164" fontId="15" fillId="4" borderId="38" xfId="0" applyFont="1" applyFill="1" applyBorder="1" applyAlignment="1" applyProtection="1">
      <s:alignment horizontal="center" vertical="center" wrapText="1" mc:Ignorable="vyd"/>
      <s:protection locked="0"/>
    </s:xf>
    <s:xf numFmtId="164" fontId="15" fillId="4" borderId="7" xfId="0" applyFont="1" applyFill="1" applyBorder="1" applyAlignment="1" applyProtection="1">
      <s:alignment horizontal="center" vertical="center" wrapText="1" mc:Ignorable="vyd"/>
      <s:protection locked="0"/>
    </s:xf>
    <s:xf numFmtId="167" fontId="13" fillId="3" borderId="22" xfId="0" applyNumberFormat="1" applyFont="1" applyFill="1" applyBorder="1" applyAlignment="1" applyProtection="1">
      <s:alignment horizontal="center" vertical="center" mc:Ignorable="vyd"/>
      <s:protection locked="0"/>
    </s:xf>
    <s:xf numFmtId="164" fontId="23" fillId="2" borderId="35" xfId="0" applyFont="1" applyFill="1" applyBorder="1" applyAlignment="1">
      <s:alignment horizontal="center" mc:Ignorable="vyd"/>
    </s:xf>
    <s:xf numFmtId="164" fontId="21" fillId="3" borderId="2" xfId="0" applyFont="1" applyFill="1" applyBorder="1" applyAlignment="1" applyProtection="1">
      <s:alignment horizontal="center" wrapText="1" mc:Ignorable="vyd"/>
      <s:protection locked="0"/>
    </s:xf>
    <s:xf numFmtId="164" fontId="21" fillId="3" borderId="1" xfId="0" applyFont="1" applyFill="1" applyBorder="1" applyAlignment="1" applyProtection="1">
      <s:alignment horizontal="center" mc:Ignorable="vyd"/>
      <s:protection locked="0"/>
    </s:xf>
    <s:xf numFmtId="164" fontId="21" fillId="3" borderId="1" xfId="0" applyFont="1" applyFill="1" applyBorder="1" applyAlignment="1" applyProtection="1">
      <s:alignment horizontal="left" mc:Ignorable="vyd"/>
      <s:protection locked="0"/>
    </s:xf>
    <s:xf numFmtId="164" fontId="13" fillId="5" borderId="21" xfId="0" applyFont="1" applyFill="1" applyBorder="1" applyAlignment="1" applyProtection="1">
      <s:alignment horizontal="left" vertical="center" mc:Ignorable="vyd"/>
      <s:protection locked="0"/>
    </s:xf>
    <s:xf numFmtId="164" fontId="13" fillId="5" borderId="22" xfId="0" applyFont="1" applyFill="1" applyBorder="1" applyAlignment="1" applyProtection="1">
      <s:alignment horizontal="left" vertical="center" mc:Ignorable="vyd"/>
      <s:protection locked="0"/>
    </s:xf>
    <s:xf numFmtId="164" fontId="13" fillId="5" borderId="12" xfId="0" applyFont="1" applyFill="1" applyBorder="1" applyAlignment="1" applyProtection="1">
      <s:alignment horizontal="left" vertical="center" mc:Ignorable="vyd"/>
      <s:protection locked="0"/>
    </s:xf>
    <s:xf numFmtId="164" fontId="13" fillId="5" borderId="13" xfId="0" applyFont="1" applyFill="1" applyBorder="1" applyAlignment="1" applyProtection="1">
      <s:alignment horizontal="left" vertical="center" mc:Ignorable="vyd"/>
      <s:protection locked="0"/>
    </s:xf>
    <s:xf numFmtId="164" fontId="13" fillId="5" borderId="6" xfId="0" applyFont="1" applyFill="1" applyBorder="1" applyAlignment="1" applyProtection="1">
      <s:alignment horizontal="left" vertical="center" mc:Ignorable="vyd"/>
      <s:protection locked="0"/>
    </s:xf>
    <s:xf numFmtId="164" fontId="13" fillId="5" borderId="7" xfId="0" applyFont="1" applyFill="1" applyBorder="1" applyAlignment="1" applyProtection="1">
      <s:alignment horizontal="left" vertical="center" mc:Ignorable="vyd"/>
      <s:protection locked="0"/>
    </s:xf>
    <s:xf numFmtId="164" fontId="18" fillId="2" borderId="43" xfId="0" applyFont="1" applyFill="1" applyBorder="1" applyAlignment="1" applyProtection="1">
      <s:alignment horizontal="center" vertical="center" wrapText="1" mc:Ignorable="vyd"/>
      <s:protection locked="0"/>
    </s:xf>
    <s:xf numFmtId="164" fontId="18" fillId="2" borderId="44" xfId="0" applyFont="1" applyFill="1" applyBorder="1" applyAlignment="1" applyProtection="1">
      <s:alignment horizontal="center" vertical="center" wrapText="1" mc:Ignorable="vyd"/>
      <s:protection locked="0"/>
    </s:xf>
    <s:xf numFmtId="164" fontId="16" fillId="0" borderId="0" xfId="0" applyFont="1" applyAlignment="1">
      <s:alignment wrapText="1" mc:Ignorable="vyd"/>
    </s:xf>
    <s:xf numFmtId="164" fontId="6" fillId="0" borderId="0" xfId="0" applyFont="1" applyAlignment="1">
      <s:alignment wrapText="1" mc:Ignorable="vyd"/>
    </s:xf>
    <s:xf numFmtId="164" fontId="10" fillId="0" borderId="0" xfId="0" applyFont="1" applyAlignment="1">
      <s:alignment wrapText="1" mc:Ignorable="vyd"/>
    </s:xf>
    <s:xf numFmtId="164" fontId="6" fillId="2" borderId="14" xfId="0" applyFont="1" applyFill="1" applyBorder="1" applyAlignment="1">
      <s:alignment horizontal="center" vertical="center" wrapText="1" mc:Ignorable="vyd"/>
    </s:xf>
    <s:xf numFmtId="167" fontId="13" fillId="3" borderId="13" xfId="0" applyNumberFormat="1" applyFont="1" applyFill="1" applyBorder="1" applyAlignment="1" applyProtection="1">
      <s:alignment horizontal="center" vertical="center" mc:Ignorable="vyd"/>
      <s:protection locked="0"/>
    </s:xf>
    <s:xf numFmtId="164" fontId="13" fillId="5" borderId="45" xfId="0" applyFont="1" applyFill="1" applyBorder="1" applyAlignment="1" applyProtection="1">
      <s:alignment horizontal="left" vertical="center" mc:Ignorable="vyd"/>
      <s:protection locked="0"/>
    </s:xf>
    <s:xf numFmtId="164" fontId="13" fillId="5" borderId="41" xfId="0" applyFont="1" applyFill="1" applyBorder="1" applyAlignment="1" applyProtection="1">
      <s:alignment horizontal="left" vertical="center" mc:Ignorable="vyd"/>
      <s:protection locked="0"/>
    </s:xf>
    <s:xf numFmtId="164" fontId="13" fillId="5" borderId="27" xfId="0" applyFont="1" applyFill="1" applyBorder="1" applyAlignment="1" applyProtection="1">
      <s:alignment horizontal="left" vertical="center" mc:Ignorable="vyd"/>
      <s:protection locked="0"/>
    </s:xf>
    <s:xf numFmtId="164" fontId="13" fillId="5" borderId="29" xfId="0" applyFont="1" applyFill="1" applyBorder="1" applyAlignment="1" applyProtection="1">
      <s:alignment horizontal="left" vertical="center" mc:Ignorable="vyd"/>
      <s:protection locked="0"/>
    </s:xf>
    <s:xf numFmtId="9" fontId="6" fillId="0" borderId="0" xfId="8" applyFont="1" applyFill="1" applyBorder="1" applyAlignment="1" applyProtection="1">
      <s:alignment horizontal="center" vertical="center" mc:Ignorable="vyd"/>
      <s:protection locked="0"/>
    </s:xf>
    <s:xf numFmtId="164" fontId="15" fillId="4" borderId="5" xfId="0" applyFont="1" applyFill="1" applyBorder="1" applyAlignment="1" applyProtection="1">
      <s:alignment horizontal="center" vertical="center" wrapText="1" mc:Ignorable="vyd"/>
      <s:protection locked="0"/>
    </s:xf>
    <s:xf numFmtId="167" fontId="16" fillId="4" borderId="3" xfId="9" applyNumberFormat="1" applyFont="1" applyFill="1" applyBorder="1" applyAlignment="1" applyProtection="1">
      <s:alignment horizontal="center" vertical="center" mc:Ignorable="vyd"/>
      <s:protection locked="0"/>
    </s:xf>
    <s:xf numFmtId="167" fontId="16" fillId="4" borderId="14" xfId="9" applyNumberFormat="1" applyFont="1" applyFill="1" applyBorder="1" applyAlignment="1" applyProtection="1">
      <s:alignment horizontal="center" vertical="center" mc:Ignorable="vyd"/>
      <s:protection locked="0"/>
    </s:xf>
    <s:xf numFmtId="164" fontId="15" fillId="4" borderId="6" xfId="0" applyFont="1" applyFill="1" applyBorder="1" applyAlignment="1" applyProtection="1">
      <s:alignment horizontal="center" vertical="center" wrapText="1" mc:Ignorable="vyd"/>
      <s:protection locked="0"/>
    </s:xf>
    <s:xf numFmtId="164" fontId="13" fillId="5" borderId="22" xfId="0" applyFont="1" applyFill="1" applyBorder="1" applyAlignment="1" applyProtection="1">
      <s:alignment horizontal="left" vertical="center" wrapText="1" mc:Ignorable="vyd"/>
      <s:protection locked="0"/>
    </s:xf>
    <s:xf numFmtId="164" fontId="13" fillId="5" borderId="13" xfId="0" applyFont="1" applyFill="1" applyBorder="1" applyAlignment="1" applyProtection="1">
      <s:alignment horizontal="left" vertical="center" wrapText="1" mc:Ignorable="vyd"/>
      <s:protection locked="0"/>
    </s:xf>
    <s:xf numFmtId="167" fontId="16" fillId="15" borderId="21" xfId="9" applyNumberFormat="1" applyFont="1" applyFill="1" applyBorder="1" applyAlignment="1" applyProtection="1">
      <s:alignment horizontal="center" vertical="center" mc:Ignorable="vyd"/>
      <s:protection locked="0"/>
    </s:xf>
    <s:xf numFmtId="49" fontId="16" fillId="15" borderId="12" xfId="9" applyNumberFormat="1" applyFont="1" applyFill="1" applyBorder="1" applyAlignment="1" applyProtection="1">
      <s:alignment horizontal="center" vertical="center" mc:Ignorable="vyd"/>
      <s:protection locked="0"/>
    </s:xf>
    <s:xf numFmtId="164" fontId="31" fillId="0" borderId="0" xfId="0" applyFont="1" applyProtection="1">
      <s:protection locked="0"/>
    </s:xf>
    <s:xf numFmtId="164" fontId="32" fillId="0" borderId="0" xfId="0" applyFont="1" applyProtection="1">
      <s:protection locked="0"/>
    </s:xf>
    <s:xf numFmtId="164" fontId="33" fillId="0" borderId="0" xfId="0" applyFont="1" applyProtection="1">
      <s:protection locked="0"/>
    </s:xf>
    <s:xf numFmtId="0" fontId="34" fillId="0" borderId="0" xfId="0" applyNumberFormat="1" applyFont="1" applyProtection="1">
      <s:protection locked="0"/>
    </s:xf>
    <s:xf numFmtId="164" fontId="31" fillId="0" borderId="0" xfId="0" applyFont="1" applyAlignment="1" applyProtection="1">
      <s:alignment vertical="center" mc:Ignorable="vyd"/>
      <s:protection locked="0"/>
    </s:xf>
    <s:xf numFmtId="172" fontId="34" fillId="0" borderId="0" xfId="0" applyNumberFormat="1" applyFont="1" applyProtection="1">
      <s:protection locked="0"/>
    </s:xf>
    <s:xf numFmtId="172" fontId="35" fillId="0" borderId="0" xfId="0" applyNumberFormat="1" applyFont="1" applyProtection="1">
      <s:protection locked="0"/>
    </s:xf>
    <s:xf numFmtId="172" fontId="36" fillId="0" borderId="0" xfId="0" applyNumberFormat="1" applyFont="1" applyProtection="1">
      <s:protection locked="0"/>
    </s:xf>
    <s:xf numFmtId="172" fontId="34" fillId="0" borderId="0" xfId="0" applyNumberFormat="1" applyFont="1" applyAlignment="1" applyProtection="1">
      <s:alignment vertical="center" mc:Ignorable="vyd"/>
      <s:protection locked="0"/>
    </s:xf>
    <s:xf numFmtId="173" fontId="31" fillId="0" borderId="0" xfId="0" applyNumberFormat="1" applyFont="1" applyProtection="1">
      <s:protection locked="0"/>
    </s:xf>
    <s:xf numFmtId="173" fontId="32" fillId="0" borderId="0" xfId="0" applyNumberFormat="1" applyFont="1" applyProtection="1">
      <s:protection locked="0"/>
    </s:xf>
    <s:xf numFmtId="173" fontId="33" fillId="0" borderId="0" xfId="0" applyNumberFormat="1" applyFont="1" applyProtection="1">
      <s:protection locked="0"/>
    </s:xf>
    <s:xf numFmtId="173" fontId="34" fillId="0" borderId="0" xfId="0" applyNumberFormat="1" applyFont="1" applyProtection="1">
      <s:protection locked="0"/>
    </s:xf>
    <s:xf numFmtId="173" fontId="31" fillId="0" borderId="0" xfId="0" applyNumberFormat="1" applyFont="1" applyAlignment="1" applyProtection="1">
      <s:alignment vertical="center" mc:Ignorable="vyd"/>
      <s:protection locked="0"/>
    </s:xf>
    <s:xf numFmtId="10" fontId="8" fillId="0" borderId="0" xfId="0" applyNumberFormat="1" applyFont="1" applyProtection="1">
      <s:protection locked="0"/>
    </s:xf>
    <s:xf numFmtId="10" fontId="0" fillId="0" borderId="0" xfId="0" applyNumberFormat="1" applyProtection="1">
      <s:protection locked="0"/>
    </s:xf>
    <s:xf numFmtId="10" fontId="13" fillId="0" borderId="0" xfId="0" applyNumberFormat="1" applyFont="1" applyProtection="1">
      <s:protection locked="0"/>
    </s:xf>
    <s:xf numFmtId="10" fontId="8" fillId="0" borderId="0" xfId="0" applyNumberFormat="1" applyFont="1" applyAlignment="1" applyProtection="1">
      <s:alignment vertical="center" mc:Ignorable="vyd"/>
      <s:protection locked="0"/>
    </s:xf>
    <s:xf numFmtId="9" fontId="12" fillId="0" borderId="0" xfId="0" applyNumberFormat="1" applyFont="1" applyProtection="1">
      <s:protection locked="0"/>
    </s:xf>
    <s:xf numFmtId="0" fontId="4" fillId="0" borderId="0" xfId="10"/>
    <s:xf numFmtId="175" fontId="0" fillId="0" borderId="0" xfId="11" applyNumberFormat="1" applyFont="1"/>
    <s:xf numFmtId="49" fontId="38" fillId="16" borderId="6" xfId="10" applyNumberFormat="1" applyFont="1" applyFill="1" applyBorder="1" applyAlignment="1">
      <s:alignment horizontal="center" vertical="center" wrapText="1" mc:Ignorable="vyd"/>
    </s:xf>
    <s:xf numFmtId="0" fontId="38" fillId="16" borderId="38" xfId="10" applyFont="1" applyFill="1" applyBorder="1" applyAlignment="1">
      <s:alignment horizontal="center" vertical="center" wrapText="1" mc:Ignorable="vyd"/>
    </s:xf>
    <s:xf numFmtId="0" fontId="38" fillId="16" borderId="9" xfId="10" applyFont="1" applyFill="1" applyBorder="1" applyAlignment="1">
      <s:alignment horizontal="center" vertical="center" wrapText="1" mc:Ignorable="vyd"/>
    </s:xf>
    <s:xf numFmtId="175" fontId="38" fillId="16" borderId="9" xfId="11" applyNumberFormat="1" applyFont="1" applyFill="1" applyBorder="1" applyAlignment="1">
      <s:alignment horizontal="center" vertical="center" wrapText="1" mc:Ignorable="vyd"/>
    </s:xf>
    <s:xf numFmtId="0" fontId="38" fillId="16" borderId="5" xfId="10" applyFont="1" applyFill="1" applyBorder="1" applyAlignment="1">
      <s:alignment horizontal="center" vertical="center" wrapText="1" mc:Ignorable="vyd"/>
    </s:xf>
    <s:xf numFmtId="0" fontId="38" fillId="16" borderId="46" xfId="10" applyFont="1" applyFill="1" applyBorder="1" applyAlignment="1">
      <s:alignment horizontal="center" vertical="center" wrapText="1" mc:Ignorable="vyd"/>
    </s:xf>
    <s:xf numFmtId="49" fontId="38" fillId="16" borderId="21" xfId="10" applyNumberFormat="1" applyFont="1" applyFill="1" applyBorder="1" applyAlignment="1">
      <s:alignment horizontal="center" vertical="center" wrapText="1" mc:Ignorable="vyd"/>
    </s:xf>
    <s:xf numFmtId="0" fontId="38" fillId="16" borderId="1" xfId="10" applyFont="1" applyFill="1" applyBorder="1" applyAlignment="1">
      <s:alignment horizontal="center" vertical="center" wrapText="1" mc:Ignorable="vyd"/>
    </s:xf>
    <s:xf numFmtId="0" fontId="38" fillId="16" borderId="36" xfId="10" applyFont="1" applyFill="1" applyBorder="1" applyAlignment="1">
      <s:alignment horizontal="center" vertical="center" wrapText="1" mc:Ignorable="vyd"/>
    </s:xf>
    <s:xf numFmtId="175" fontId="38" fillId="16" borderId="36" xfId="11" applyNumberFormat="1" applyFont="1" applyFill="1" applyBorder="1" applyAlignment="1">
      <s:alignment horizontal="center" vertical="center" wrapText="1" mc:Ignorable="vyd"/>
    </s:xf>
    <s:xf numFmtId="0" fontId="38" fillId="16" borderId="18" xfId="10" applyFont="1" applyFill="1" applyBorder="1" applyAlignment="1">
      <s:alignment horizontal="center" vertical="center" wrapText="1" mc:Ignorable="vyd"/>
    </s:xf>
    <s:xf numFmtId="0" fontId="38" fillId="16" borderId="0" xfId="10" applyFont="1" applyFill="1" applyAlignment="1">
      <s:alignment horizontal="center" vertical="center" wrapText="1" mc:Ignorable="vyd"/>
    </s:xf>
    <s:xf numFmtId="176" fontId="39" fillId="17" borderId="3" xfId="12" applyNumberFormat="1" applyFont="1" applyFill="1" applyBorder="1" applyAlignment="1">
      <s:alignment horizontal="center" vertical="center" wrapText="1" mc:Ignorable="vyd"/>
    </s:xf>
    <s:xf numFmtId="176" fontId="39" fillId="17" borderId="1" xfId="12" applyNumberFormat="1" applyFont="1" applyFill="1" applyBorder="1" applyAlignment="1">
      <s:alignment horizontal="center" vertical="center" wrapText="1" mc:Ignorable="vyd"/>
    </s:xf>
    <s:xf numFmtId="176" fontId="39" fillId="17" borderId="22" xfId="12" applyNumberFormat="1" applyFont="1" applyFill="1" applyBorder="1" applyAlignment="1">
      <s:alignment horizontal="center" vertical="center" wrapText="1" mc:Ignorable="vyd"/>
    </s:xf>
    <s:xf numFmtId="175" fontId="38" fillId="16" borderId="18" xfId="11" applyNumberFormat="1" applyFont="1" applyFill="1" applyBorder="1" applyAlignment="1">
      <s:alignment horizontal="center" vertical="center" wrapText="1" mc:Ignorable="vyd"/>
    </s:xf>
    <s:xf numFmtId="169" fontId="39" fillId="17" borderId="3" xfId="12" applyNumberFormat="1" applyFont="1" applyFill="1" applyBorder="1" applyAlignment="1">
      <s:alignment vertical="center" wrapText="1" mc:Ignorable="vyd"/>
    </s:xf>
    <s:xf numFmtId="169" fontId="39" fillId="17" borderId="1" xfId="12" applyNumberFormat="1" applyFont="1" applyFill="1" applyBorder="1" applyAlignment="1">
      <s:alignment vertical="center" wrapText="1" mc:Ignorable="vyd"/>
    </s:xf>
    <s:xf numFmtId="169" fontId="39" fillId="17" borderId="22" xfId="12" applyNumberFormat="1" applyFont="1" applyFill="1" applyBorder="1" applyAlignment="1">
      <s:alignment vertical="center" wrapText="1" mc:Ignorable="vyd"/>
    </s:xf>
    <s:xf numFmtId="0" fontId="40" fillId="16" borderId="18" xfId="10" applyFont="1" applyFill="1" applyBorder="1" applyAlignment="1">
      <s:alignment horizontal="center" vertical="center" wrapText="1" mc:Ignorable="vyd"/>
    </s:xf>
    <s:xf numFmtId="0" fontId="37" fillId="18" borderId="47" xfId="12" applyFill="1" applyBorder="1"/>
    <s:xf numFmtId="0" fontId="37" fillId="18" borderId="48" xfId="12" applyFill="1" applyBorder="1"/>
    <s:xf numFmtId="49" fontId="41" fillId="19" borderId="16" xfId="10" applyNumberFormat="1" applyFont="1" applyFill="1" applyBorder="1" applyAlignment="1">
      <s:alignment horizontal="center" vertical="center" mc:Ignorable="vyd"/>
    </s:xf>
    <s:xf numFmtId="0" fontId="42" fillId="19" borderId="18" xfId="10" applyFont="1" applyFill="1" applyBorder="1" applyAlignment="1">
      <s:alignment vertical="center" wrapText="1" mc:Ignorable="vyd"/>
    </s:xf>
    <s:xf numFmtId="175" fontId="42" fillId="19" borderId="1" xfId="11" applyNumberFormat="1" applyFont="1" applyFill="1" applyBorder="1" applyAlignment="1">
      <s:alignment horizontal="right" vertical="center" wrapText="1" mc:Ignorable="vyd"/>
    </s:xf>
    <s:xf numFmtId="4" fontId="42" fillId="19" borderId="1" xfId="10" applyNumberFormat="1" applyFont="1" applyFill="1" applyBorder="1" applyAlignment="1">
      <s:alignment horizontal="right" vertical="center" wrapText="1" mc:Ignorable="vyd"/>
    </s:xf>
    <s:xf numFmtId="4" fontId="43" fillId="19" borderId="1" xfId="10" applyNumberFormat="1" applyFont="1" applyFill="1" applyBorder="1" applyAlignment="1">
      <s:alignment horizontal="right" vertical="center" wrapText="1" mc:Ignorable="vyd"/>
    </s:xf>
    <s:xf numFmtId="0" fontId="44" fillId="20" borderId="1" xfId="10" applyFont="1" applyFill="1" applyBorder="1" applyAlignment="1">
      <s:alignment vertical="center" wrapText="1" mc:Ignorable="vyd"/>
    </s:xf>
    <s:xf numFmtId="0" fontId="37" fillId="21" borderId="47" xfId="12" applyFill="1" applyBorder="1"/>
    <s:xf numFmtId="0" fontId="37" fillId="21" borderId="48" xfId="12" applyFill="1" applyBorder="1"/>
    <s:xf numFmtId="49" fontId="45" fillId="20" borderId="21" xfId="10" applyNumberFormat="1" applyFont="1" applyFill="1" applyBorder="1" applyAlignment="1">
      <s:alignment horizontal="center" vertical="center" mc:Ignorable="vyd"/>
    </s:xf>
    <s:xf numFmtId="175" fontId="45" fillId="22" borderId="1" xfId="11" applyNumberFormat="1" applyFont="1" applyFill="1" applyBorder="1" applyAlignment="1">
      <s:alignment horizontal="right" vertical="center" wrapText="1" mc:Ignorable="vyd"/>
    </s:xf>
    <s:xf numFmtId="0" fontId="37" fillId="23" borderId="47" xfId="12" applyFill="1" applyBorder="1"/>
    <s:xf numFmtId="0" fontId="37" fillId="24" borderId="47" xfId="12" applyFill="1" applyBorder="1"/>
    <s:xf numFmtId="0" fontId="37" fillId="24" borderId="48" xfId="12" applyFill="1" applyBorder="1"/>
    <s:xf numFmtId="49" fontId="46" fillId="0" borderId="21" xfId="10" applyNumberFormat="1" applyFont="1" applyBorder="1" applyAlignment="1">
      <s:alignment horizontal="center" vertical="center" mc:Ignorable="vyd"/>
    </s:xf>
    <s:xf numFmtId="0" fontId="46" fillId="0" borderId="1" xfId="10" applyFont="1" applyBorder="1" applyAlignment="1">
      <s:alignment vertical="center" wrapText="1" mc:Ignorable="vyd"/>
    </s:xf>
    <s:xf numFmtId="175" fontId="46" fillId="0" borderId="1" xfId="11" applyNumberFormat="1" applyFont="1" applyFill="1" applyBorder="1" applyAlignment="1">
      <s:alignment horizontal="right" vertical="center" wrapText="1" mc:Ignorable="vyd"/>
    </s:xf>
    <s:xf numFmtId="4" fontId="46" fillId="0" borderId="1" xfId="10" applyNumberFormat="1" applyFont="1" applyBorder="1" applyAlignment="1">
      <s:alignment horizontal="right" vertical="center" wrapText="1" mc:Ignorable="vyd"/>
    </s:xf>
    <s:xf numFmtId="49" fontId="47" fillId="0" borderId="21" xfId="10" applyNumberFormat="1" applyFont="1" applyBorder="1" applyAlignment="1">
      <s:alignment horizontal="center" vertical="center" mc:Ignorable="vyd"/>
    </s:xf>
    <s:xf numFmtId="4" fontId="48" fillId="0" borderId="1" xfId="10" applyNumberFormat="1" applyFont="1" applyBorder="1" applyAlignment="1">
      <s:alignment horizontal="right" vertical="center" wrapText="1" mc:Ignorable="vyd"/>
    </s:xf>
    <s:xf numFmtId="0" fontId="45" fillId="20" borderId="21" xfId="10" applyFont="1" applyFill="1" applyBorder="1" applyAlignment="1">
      <s:alignment horizontal="center" vertical="center" mc:Ignorable="vyd"/>
    </s:xf>
    <s:xf numFmtId="4" fontId="45" fillId="22" borderId="1" xfId="10" applyNumberFormat="1" applyFont="1" applyFill="1" applyBorder="1" applyAlignment="1">
      <s:alignment horizontal="right" vertical="center" wrapText="1" mc:Ignorable="vyd"/>
    </s:xf>
    <s:xf numFmtId="0" fontId="46" fillId="0" borderId="4" xfId="10" applyFont="1" applyBorder="1" applyAlignment="1">
      <s:alignment horizontal="left" vertical="center" wrapText="1" mc:Ignorable="vyd"/>
    </s:xf>
    <s:xf numFmtId="0" fontId="49" fillId="20" borderId="1" xfId="10" applyFont="1" applyFill="1" applyBorder="1" applyAlignment="1">
      <s:alignment vertical="center" wrapText="1" mc:Ignorable="vyd"/>
    </s:xf>
    <s:xf numFmtId="0" fontId="50" fillId="24" borderId="47" xfId="12" applyFont="1" applyFill="1" applyBorder="1"/>
    <s:xf numFmtId="0" fontId="46" fillId="0" borderId="1" xfId="10" applyFont="1" applyBorder="1" applyAlignment="1">
      <s:alignment horizontal="left" vertical="center" wrapText="1" mc:Ignorable="vyd"/>
    </s:xf>
    <s:xf numFmtId="0" fontId="37" fillId="18" borderId="47" xfId="12" applyFill="1" applyBorder="1" applyAlignment="1">
      <s:alignment horizontal="left" mc:Ignorable="vyd"/>
    </s:xf>
    <s:xf numFmtId="0" fontId="50" fillId="18" borderId="47" xfId="12" applyFont="1" applyFill="1" applyBorder="1" applyAlignment="1">
      <s:alignment horizontal="left" mc:Ignorable="vyd"/>
    </s:xf>
    <s:xf numFmtId="0" fontId="37" fillId="18" borderId="48" xfId="12" applyFill="1" applyBorder="1" applyAlignment="1">
      <s:alignment horizontal="left" mc:Ignorable="vyd"/>
    </s:xf>
    <s:xf numFmtId="0" fontId="4" fillId="0" borderId="0" xfId="10" applyAlignment="1">
      <s:alignment horizontal="left" mc:Ignorable="vyd"/>
    </s:xf>
    <s:xf numFmtId="0" fontId="46" fillId="0" borderId="4" xfId="10" applyFont="1" applyBorder="1" applyAlignment="1">
      <s:alignment vertical="center" wrapText="1" mc:Ignorable="vyd"/>
    </s:xf>
    <s:xf numFmtId="0" fontId="45" fillId="20" borderId="12" xfId="10" applyFont="1" applyFill="1" applyBorder="1" applyAlignment="1">
      <s:alignment horizontal="center" vertical="center" mc:Ignorable="vyd"/>
    </s:xf>
    <s:xf numFmtId="0" fontId="44" fillId="20" borderId="26" xfId="10" applyFont="1" applyFill="1" applyBorder="1" applyAlignment="1">
      <s:alignment vertical="center" wrapText="1" mc:Ignorable="vyd"/>
    </s:xf>
    <s:xf numFmtId="175" fontId="45" fillId="22" borderId="26" xfId="11" applyNumberFormat="1" applyFont="1" applyFill="1" applyBorder="1" applyAlignment="1">
      <s:alignment horizontal="right" vertical="center" wrapText="1" mc:Ignorable="vyd"/>
    </s:xf>
    <s:xf numFmtId="4" fontId="45" fillId="22" borderId="26" xfId="10" applyNumberFormat="1" applyFont="1" applyFill="1" applyBorder="1" applyAlignment="1">
      <s:alignment horizontal="right" vertical="center" wrapText="1" mc:Ignorable="vyd"/>
    </s:xf>
    <s:xf numFmtId="0" fontId="37" fillId="24" borderId="49" xfId="12" applyFill="1" applyBorder="1"/>
    <s:xf numFmtId="0" fontId="50" fillId="24" borderId="49" xfId="12" applyFont="1" applyFill="1" applyBorder="1"/>
    <s:xf numFmtId="0" fontId="37" fillId="24" borderId="50" xfId="12" applyFill="1" applyBorder="1"/>
    <s:xf numFmtId="49" fontId="47" fillId="25" borderId="19" xfId="10" applyNumberFormat="1" applyFont="1" applyFill="1" applyBorder="1" applyAlignment="1">
      <s:alignment horizontal="center" vertical="center" mc:Ignorable="vyd"/>
    </s:xf>
    <s:xf numFmtId="0" fontId="46" fillId="0" borderId="19" xfId="10" applyFont="1" applyBorder="1" applyAlignment="1">
      <s:alignment vertical="center" wrapText="1" mc:Ignorable="vyd"/>
    </s:xf>
    <s:xf numFmtId="175" fontId="46" fillId="0" borderId="19" xfId="11" applyNumberFormat="1" applyFont="1" applyBorder="1" applyAlignment="1">
      <s:alignment horizontal="right" vertical="center" wrapText="1" mc:Ignorable="vyd"/>
    </s:xf>
    <s:xf numFmtId="4" fontId="46" fillId="26" borderId="19" xfId="10" applyNumberFormat="1" applyFont="1" applyFill="1" applyBorder="1" applyAlignment="1">
      <s:alignment horizontal="right" vertical="center" wrapText="1" mc:Ignorable="vyd"/>
    </s:xf>
    <s:xf numFmtId="4" fontId="46" fillId="0" borderId="19" xfId="10" applyNumberFormat="1" applyFont="1" applyBorder="1" applyAlignment="1">
      <s:alignment horizontal="right" vertical="center" wrapText="1" mc:Ignorable="vyd"/>
    </s:xf>
    <s:xf numFmtId="49" fontId="47" fillId="25" borderId="1" xfId="10" applyNumberFormat="1" applyFont="1" applyFill="1" applyBorder="1" applyAlignment="1">
      <s:alignment horizontal="center" vertical="center" mc:Ignorable="vyd"/>
    </s:xf>
    <s:xf numFmtId="175" fontId="46" fillId="0" borderId="1" xfId="11" applyNumberFormat="1" applyFont="1" applyBorder="1" applyAlignment="1">
      <s:alignment horizontal="right" vertical="center" wrapText="1" mc:Ignorable="vyd"/>
    </s:xf>
    <s:xf numFmtId="4" fontId="46" fillId="26" borderId="1" xfId="10" applyNumberFormat="1" applyFont="1" applyFill="1" applyBorder="1" applyAlignment="1">
      <s:alignment horizontal="right" vertical="center" wrapText="1" mc:Ignorable="vyd"/>
    </s:xf>
    <s:xf numFmtId="4" fontId="46" fillId="25" borderId="1" xfId="10" applyNumberFormat="1" applyFont="1" applyFill="1" applyBorder="1" applyAlignment="1">
      <s:alignment horizontal="left" vertical="center" wrapText="1" mc:Ignorable="vyd"/>
    </s:xf>
    <s:xf numFmtId="3" fontId="46" fillId="0" borderId="0" xfId="10" applyNumberFormat="1" applyFont="1" applyAlignment="1">
      <s:alignment horizontal="right" vertical="center" wrapText="1" mc:Ignorable="vyd"/>
    </s:xf>
    <s:xf numFmtId="3" fontId="4" fillId="0" borderId="0" xfId="10" applyNumberFormat="1"/>
    <s:xf numFmtId="43" fontId="4" fillId="0" borderId="0" xfId="10" applyNumberFormat="1"/>
    <s:xf numFmtId="175" fontId="4" fillId="0" borderId="0" xfId="11" applyNumberFormat="1" applyFont="1"/>
    <s:xf numFmtId="174" fontId="0" fillId="0" borderId="0" xfId="11" applyFont="1"/>
    <s:xf numFmtId="164" fontId="10" fillId="27" borderId="51" xfId="0" applyFont="1" applyFill="1" applyBorder="1" applyAlignment="1">
      <s:alignment horizontal="left" vertical="top" wrapText="1" mc:Ignorable="vyd"/>
    </s:xf>
    <s:xf numFmtId="164" fontId="10" fillId="27" borderId="52" xfId="0" applyFont="1" applyFill="1" applyBorder="1" applyAlignment="1">
      <s:alignment horizontal="left" vertical="top" wrapText="1" mc:Ignorable="vyd"/>
    </s:xf>
    <s:xf numFmtId="164" fontId="10" fillId="27" borderId="53" xfId="0" applyFont="1" applyFill="1" applyBorder="1" applyAlignment="1">
      <s:alignment horizontal="left" vertical="top" wrapText="1" mc:Ignorable="vyd"/>
    </s:xf>
    <s:xf numFmtId="164" fontId="13" fillId="5" borderId="6" xfId="0" applyFont="1" applyFill="1" applyBorder="1" applyAlignment="1" applyProtection="1">
      <s:alignment horizontal="left" vertical="center" wrapText="1" mc:Ignorable="vyd"/>
      <s:protection locked="0"/>
    </s:xf>
    <s:xf numFmtId="164" fontId="26" fillId="0" borderId="54" xfId="0" applyFont="1" applyBorder="1" applyAlignment="1">
      <s:alignment horizontal="left" vertical="top" mc:Ignorable="vyd"/>
    </s:xf>
    <s:xf numFmtId="164" fontId="26" fillId="0" borderId="55" xfId="0" applyFont="1" applyBorder="1" applyAlignment="1">
      <s:alignment horizontal="left" vertical="top" mc:Ignorable="vyd"/>
    </s:xf>
    <s:xf numFmtId="164" fontId="26" fillId="0" borderId="56" xfId="0" applyFont="1" applyBorder="1" applyAlignment="1">
      <s:alignment horizontal="left" vertical="top" mc:Ignorable="vyd"/>
    </s:xf>
    <s:xf numFmtId="164" fontId="13" fillId="5" borderId="21" xfId="0" applyFont="1" applyFill="1" applyBorder="1" applyAlignment="1" applyProtection="1">
      <s:alignment horizontal="left" vertical="center" wrapText="1" mc:Ignorable="vyd"/>
      <s:protection locked="0"/>
    </s:xf>
    <s:xf numFmtId="164" fontId="26" fillId="0" borderId="57" xfId="0" applyFont="1" applyBorder="1" applyAlignment="1">
      <s:alignment horizontal="left" vertical="top" mc:Ignorable="vyd"/>
    </s:xf>
    <s:xf numFmtId="164" fontId="26" fillId="0" borderId="58" xfId="0" applyFont="1" applyBorder="1" applyAlignment="1">
      <s:alignment horizontal="left" vertical="top" mc:Ignorable="vyd"/>
    </s:xf>
    <s:xf numFmtId="164" fontId="26" fillId="0" borderId="59" xfId="0" applyFont="1" applyBorder="1" applyAlignment="1">
      <s:alignment horizontal="left" vertical="top" mc:Ignorable="vyd"/>
    </s:xf>
    <s:xf numFmtId="164" fontId="13" fillId="5" borderId="12" xfId="0" applyFont="1" applyFill="1" applyBorder="1" applyAlignment="1" applyProtection="1">
      <s:alignment horizontal="left" vertical="center" wrapText="1" mc:Ignorable="vyd"/>
      <s:protection locked="0"/>
    </s:xf>
    <s:xf numFmtId="164" fontId="26" fillId="0" borderId="60" xfId="0" applyFont="1" applyBorder="1" applyAlignment="1">
      <s:alignment horizontal="left" vertical="top" mc:Ignorable="vyd"/>
    </s:xf>
    <s:xf numFmtId="164" fontId="26" fillId="0" borderId="61" xfId="0" applyFont="1" applyBorder="1" applyAlignment="1">
      <s:alignment horizontal="left" vertical="top" mc:Ignorable="vyd"/>
    </s:xf>
    <s:xf numFmtId="164" fontId="26" fillId="0" borderId="62" xfId="0" applyFont="1" applyBorder="1" applyAlignment="1">
      <s:alignment horizontal="left" vertical="top" mc:Ignorable="vyd"/>
    </s:xf>
    <s:xf numFmtId="164" fontId="13" fillId="5" borderId="27" xfId="0" applyFont="1" applyFill="1" applyBorder="1" applyAlignment="1" applyProtection="1">
      <s:alignment horizontal="left" vertical="center" wrapText="1" mc:Ignorable="vyd"/>
      <s:protection locked="0"/>
    </s:xf>
    <s:xf numFmtId="164" fontId="26" fillId="0" borderId="63" xfId="0" applyFont="1" applyBorder="1" applyAlignment="1">
      <s:alignment horizontal="left" vertical="top" mc:Ignorable="vyd"/>
    </s:xf>
    <s:xf numFmtId="164" fontId="26" fillId="0" borderId="64" xfId="0" applyFont="1" applyBorder="1" applyAlignment="1">
      <s:alignment horizontal="left" vertical="top" mc:Ignorable="vyd"/>
    </s:xf>
    <s:xf numFmtId="164" fontId="0" fillId="0" borderId="31" xfId="0" applyBorder="1"/>
    <s:xf numFmtId="164" fontId="0" fillId="0" borderId="37" xfId="0" applyBorder="1"/>
    <s:xf numFmtId="164" fontId="13" fillId="5" borderId="45" xfId="0" applyFont="1" applyFill="1" applyBorder="1" applyAlignment="1" applyProtection="1">
      <s:alignment horizontal="left" vertical="center" wrapText="1" mc:Ignorable="vyd"/>
      <s:protection locked="0"/>
    </s:xf>
    <s:xf numFmtId="0" fontId="37" fillId="28" borderId="1" xfId="13" applyFill="1" applyBorder="1" applyAlignment="1">
      <s:alignment horizontal="center" vertical="center" wrapText="1" mc:Ignorable="vyd"/>
    </s:xf>
    <s:xf numFmtId="0" fontId="37" fillId="28" borderId="1" xfId="13" applyFill="1" applyBorder="1" applyAlignment="1">
      <s:alignment horizontal="left" vertical="center" wrapText="1" mc:Ignorable="vyd"/>
    </s:xf>
    <s:xf numFmtId="0" fontId="37" fillId="28" borderId="1" xfId="13" applyFill="1" applyBorder="1"/>
    <s:xf numFmtId="0" fontId="37" fillId="0" borderId="0" xfId="13"/>
    <s:xf numFmtId="0" fontId="37" fillId="0" borderId="1" xfId="13" applyBorder="1" applyAlignment="1">
      <s:alignment horizontal="left" vertical="center" wrapText="1" mc:Ignorable="vyd"/>
    </s:xf>
    <s:xf numFmtId="0" fontId="2" fillId="0" borderId="1" xfId="13" applyFont="1" applyFill="1" applyBorder="1" applyAlignment="1">
      <s:alignment horizontal="left" vertical="center" wrapText="1" mc:Ignorable="vyd"/>
    </s:xf>
    <s:xf numFmtId="0" fontId="37" fillId="0" borderId="1" xfId="13" applyFill="1" applyBorder="1"/>
    <s:xf numFmtId="0" fontId="37" fillId="0" borderId="1" xfId="13" applyFill="1" applyBorder="1" applyAlignment="1">
      <s:alignment horizontal="left" vertical="center" wrapText="1" mc:Ignorable="vyd"/>
    </s:xf>
    <s:xf numFmtId="0" fontId="37" fillId="0" borderId="1" xfId="13" applyBorder="1"/>
    <s:xf numFmtId="0" fontId="37" fillId="0" borderId="0" xfId="13" applyAlignment="1">
      <s:alignment horizontal="left" vertical="center" wrapText="1" mc:Ignorable="vyd"/>
    </s:xf>
    <s:xf numFmtId="0" fontId="2" fillId="0" borderId="0" xfId="14"/>
    <s:xf numFmtId="0" fontId="2" fillId="0" borderId="0" xfId="14" applyAlignment="1">
      <s:alignment wrapText="1" mc:Ignorable="vyd"/>
    </s:xf>
    <s:xf numFmtId="0" fontId="2" fillId="0" borderId="0" xfId="14" applyAlignment="1"/>
    <s:xf numFmtId="0" fontId="50" fillId="29" borderId="65" xfId="14" applyFont="1" applyFill="1" applyBorder="1" applyAlignment="1">
      <s:alignment horizontal="center" vertical="center" wrapText="1" mc:Ignorable="vyd"/>
    </s:xf>
    <s:xf numFmtId="43" fontId="50" fillId="29" borderId="65" xfId="15" applyFont="1" applyFill="1" applyBorder="1" applyAlignment="1">
      <s:alignment horizontal="center" vertical="center" mc:Ignorable="vyd"/>
    </s:xf>
    <s:xf numFmtId="0" fontId="50" fillId="29" borderId="66" xfId="14" applyFont="1" applyFill="1" applyBorder="1" applyAlignment="1">
      <s:alignment horizontal="center" vertical="center" mc:Ignorable="vyd"/>
    </s:xf>
    <s:xf numFmtId="0" fontId="50" fillId="29" borderId="44" xfId="14" applyFont="1" applyFill="1" applyBorder="1"/>
    <s:xf numFmtId="0" fontId="50" fillId="30" borderId="1" xfId="14" applyFont="1" applyFill="1" applyBorder="1" applyAlignment="1">
      <s:alignment horizontal="left" vertical="center" wrapText="1" mc:Ignorable="vyd"/>
    </s:xf>
    <s:xf numFmtId="0" fontId="2" fillId="0" borderId="2" xfId="14" applyFill="1" applyBorder="1" applyAlignment="1">
      <s:alignment horizontal="left" vertical="center" wrapText="1" mc:Ignorable="vyd"/>
    </s:xf>
    <s:xf numFmtId="43" fontId="0" fillId="31" borderId="1" xfId="15" applyFont="1" applyFill="1" applyBorder="1" applyAlignment="1">
      <s:alignment horizontal="center" vertical="center" wrapText="1" mc:Ignorable="vyd"/>
    </s:xf>
    <s:xf numFmtId="43" fontId="0" fillId="0" borderId="1" xfId="15" applyFont="1" applyBorder="1" applyAlignment="1">
      <s:alignment horizontal="center" vertical="center" wrapText="1" mc:Ignorable="vyd"/>
    </s:xf>
    <s:xf numFmtId="43" fontId="2" fillId="0" borderId="0" xfId="14" applyNumberFormat="1"/>
    <s:xf numFmtId="0" fontId="2" fillId="0" borderId="67" xfId="14" applyFill="1" applyBorder="1" applyAlignment="1">
      <s:alignment horizontal="center" vertical="center" mc:Ignorable="vyd"/>
    </s:xf>
    <s:xf numFmtId="0" fontId="50" fillId="0" borderId="0" xfId="14" applyFont="1" applyFill="1" applyBorder="1" applyAlignment="1">
      <s:alignment vertical="center" wrapText="1" mc:Ignorable="vyd"/>
    </s:xf>
    <s:xf numFmtId="0" fontId="2" fillId="0" borderId="17" xfId="14" applyBorder="1" applyAlignment="1">
      <s:alignment horizontal="center" mc:Ignorable="vyd"/>
    </s:xf>
    <s:xf numFmtId="0" fontId="2" fillId="0" borderId="2" xfId="14" applyFill="1" applyBorder="1" applyAlignment="1">
      <s:alignment horizontal="center" vertical="center" wrapText="1" mc:Ignorable="vyd"/>
    </s:xf>
    <s:xf numFmtId="9" fontId="0" fillId="0" borderId="1" xfId="16" applyFont="1" applyBorder="1" applyAlignment="1">
      <s:alignment horizontal="center" vertical="center" mc:Ignorable="vyd"/>
    </s:xf>
    <s:xf numFmtId="0" fontId="2" fillId="0" borderId="22" xfId="14" applyBorder="1" applyAlignment="1">
      <s:alignment wrapText="1" mc:Ignorable="vyd"/>
    </s:xf>
    <s:xf numFmtId="0" fontId="2" fillId="0" borderId="1" xfId="14" applyFill="1" applyBorder="1" applyAlignment="1">
      <s:alignment horizontal="left" vertical="center" wrapText="1" mc:Ignorable="vyd"/>
    </s:xf>
    <s:xf numFmtId="0" fontId="2" fillId="0" borderId="1" xfId="14" applyBorder="1" applyAlignment="1">
      <s:alignment wrapText="1" mc:Ignorable="vyd"/>
    </s:xf>
    <s:xf numFmtId="0" fontId="2" fillId="0" borderId="24" xfId="14" applyBorder="1" applyAlignment="1">
      <s:alignment vertical="center" mc:Ignorable="vyd"/>
    </s:xf>
    <s:xf numFmtId="0" fontId="2" fillId="0" borderId="34" xfId="14" applyBorder="1" applyAlignment="1">
      <s:alignment vertical="center" mc:Ignorable="vyd"/>
    </s:xf>
    <s:xf numFmtId="0" fontId="2" fillId="0" borderId="22" xfId="14" applyBorder="1" applyAlignment="1">
      <s:alignment horizontal="center" mc:Ignorable="vyd"/>
    </s:xf>
    <s:xf numFmtId="0" fontId="2" fillId="0" borderId="67" xfId="14" applyBorder="1" applyAlignment="1">
      <s:alignment horizontal="center" vertical="center" mc:Ignorable="vyd"/>
    </s:xf>
    <s:xf numFmtId="0" fontId="2" fillId="0" borderId="68" xfId="14" applyBorder="1" applyAlignment="1">
      <s:alignment horizontal="left" vertical="center" mc:Ignorable="vyd"/>
    </s:xf>
    <s:xf numFmtId="0" fontId="2" fillId="0" borderId="31" xfId="14" applyBorder="1" applyAlignment="1">
      <s:alignment horizontal="left" vertical="center" mc:Ignorable="vyd"/>
    </s:xf>
    <s:xf numFmtId="0" fontId="2" fillId="0" borderId="37" xfId="14" applyBorder="1"/>
    <s:xf numFmtId="0" fontId="2" fillId="0" borderId="0" xfId="14" applyAlignment="1">
      <s:alignment horizontal="left" wrapText="1" mc:Ignorable="vyd"/>
    </s:xf>
    <s:xf numFmtId="43" fontId="2" fillId="0" borderId="0" xfId="14" applyNumberFormat="1" applyAlignment="1">
      <s:alignment horizontal="left" wrapText="1" mc:Ignorable="vyd"/>
    </s:xf>
    <s:xf numFmtId="9" fontId="0" fillId="0" borderId="1" xfId="16" applyFont="1" applyBorder="1" applyAlignment="1">
      <s:alignment horizontal="center" mc:Ignorable="vyd"/>
    </s:xf>
    <s:xf numFmtId="43" fontId="52" fillId="0" borderId="0" xfId="14" applyNumberFormat="1" applyFont="1" applyAlignment="1">
      <s:alignment horizontal="left" wrapText="1" mc:Ignorable="vyd"/>
    </s:xf>
    <s:xf numFmtId="43" fontId="2" fillId="0" borderId="0" xfId="14" applyNumberFormat="1" applyAlignment="1">
      <s:alignment wrapText="1" mc:Ignorable="vyd"/>
    </s:xf>
    <s:xf numFmtId="0" fontId="2" fillId="0" borderId="0" xfId="14" applyAlignment="1">
      <s:alignment horizontal="center" vertical="center" wrapText="1" mc:Ignorable="vyd"/>
    </s:xf>
    <s:xf numFmtId="9" fontId="0" fillId="0" borderId="0" xfId="16" applyFont="1" applyAlignment="1">
      <s:alignment horizontal="center" wrapText="1" mc:Ignorable="vyd"/>
    </s:xf>
    <s:xf numFmtId="0" fontId="2" fillId="31" borderId="0" xfId="14" applyFill="1"/>
    <s:xf numFmtId="0" fontId="2" fillId="0" borderId="0" xfId="17"/>
    <s:xf numFmtId="0" fontId="2" fillId="0" borderId="0" xfId="17" applyFont="1" applyFill="1" applyBorder="1" applyAlignment="1">
      <s:alignment horizontal="left" wrapText="1" mc:Ignorable="vyd"/>
    </s:xf>
    <s:xf numFmtId="0" fontId="50" fillId="0" borderId="27" xfId="17" applyFont="1" applyBorder="1" applyAlignment="1">
      <s:alignment horizontal="center" vertical="center" mc:Ignorable="vyd"/>
    </s:xf>
    <s:xf numFmtId="0" fontId="50" fillId="0" borderId="28" xfId="17" applyFont="1" applyBorder="1" applyAlignment="1">
      <s:alignment horizontal="center" vertical="center" wrapText="1" mc:Ignorable="vyd"/>
    </s:xf>
    <s:xf numFmtId="0" fontId="50" fillId="0" borderId="29" xfId="17" applyFont="1" applyBorder="1" applyAlignment="1">
      <s:alignment horizontal="center" vertical="center" wrapText="1" mc:Ignorable="vyd"/>
    </s:xf>
    <s:xf numFmtId="0" fontId="50" fillId="0" borderId="16" xfId="17" applyFont="1" applyBorder="1" applyAlignment="1">
      <s:alignment horizontal="center" vertical="center" mc:Ignorable="vyd"/>
    </s:xf>
    <s:xf numFmtId="0" fontId="50" fillId="0" borderId="19" xfId="17" applyFont="1" applyBorder="1" applyAlignment="1">
      <s:alignment wrapText="1" mc:Ignorable="vyd"/>
    </s:xf>
    <s:xf numFmtId="0" fontId="50" fillId="0" borderId="17" xfId="17" applyFont="1" applyBorder="1" applyAlignment="1">
      <s:alignment horizontal="center" vertical="center" mc:Ignorable="vyd"/>
    </s:xf>
    <s:xf numFmtId="0" fontId="2" fillId="32" borderId="18" xfId="17" applyFill="1" applyBorder="1"/>
    <s:xf numFmtId="0" fontId="2" fillId="32" borderId="19" xfId="17" applyFill="1" applyBorder="1"/>
    <s:xf numFmtId="0" fontId="2" fillId="0" borderId="19" xfId="17" applyFill="1" applyBorder="1"/>
    <s:xf numFmtId="0" fontId="2" fillId="0" borderId="17" xfId="17" applyFill="1" applyBorder="1"/>
    <s:xf numFmtId="0" fontId="2" fillId="32" borderId="1" xfId="17" applyFill="1" applyBorder="1"/>
    <s:xf numFmtId="0" fontId="2" fillId="0" borderId="1" xfId="17" applyBorder="1"/>
    <s:xf numFmtId="0" fontId="2" fillId="0" borderId="1" xfId="17" applyFill="1" applyBorder="1"/>
    <s:xf numFmtId="0" fontId="2" fillId="0" borderId="18" xfId="17" applyFill="1" applyBorder="1"/>
    <s:xf numFmtId="0" fontId="50" fillId="0" borderId="35" xfId="17" applyFont="1" applyBorder="1" applyAlignment="1">
      <s:alignment horizontal="center" vertical="center" mc:Ignorable="vyd"/>
    </s:xf>
    <s:xf numFmtId="0" fontId="50" fillId="0" borderId="12" xfId="17" applyFont="1" applyBorder="1"/>
    <s:xf numFmtId="0" fontId="50" fillId="0" borderId="26" xfId="17" applyFont="1" applyBorder="1" applyAlignment="1">
      <s:alignment horizontal="right" wrapText="1" mc:Ignorable="vyd"/>
    </s:xf>
    <s:xf numFmtId="0" fontId="50" fillId="0" borderId="13" xfId="17" applyFont="1" applyBorder="1" applyAlignment="1">
      <s:alignment horizontal="center" vertical="center" mc:Ignorable="vyd"/>
    </s:xf>
    <s:xf numFmtId="0" fontId="2" fillId="33" borderId="14" xfId="17" applyFill="1" applyBorder="1"/>
    <s:xf numFmtId="0" fontId="2" fillId="33" borderId="26" xfId="17" applyFill="1" applyBorder="1"/>
    <s:xf numFmtId="0" fontId="2" fillId="0" borderId="26" xfId="17" applyFill="1" applyBorder="1"/>
    <s:xf numFmtId="0" fontId="2" fillId="0" borderId="13" xfId="17" applyFill="1" applyBorder="1"/>
    <s:xf numFmtId="0" fontId="53" fillId="0" borderId="36" xfId="17" applyFont="1" applyBorder="1" applyAlignment="1">
      <s:alignment horizontal="center" vertical="center" mc:Ignorable="vyd"/>
    </s:xf>
    <s:xf numFmtId="0" fontId="53" fillId="0" borderId="36" xfId="17" applyFont="1" applyBorder="1" applyAlignment="1">
      <s:alignment horizontal="center" vertical="center" wrapText="1" mc:Ignorable="vyd"/>
    </s:xf>
    <s:xf numFmtId="0" fontId="50" fillId="0" borderId="34" xfId="17" applyFont="1" applyBorder="1" applyAlignment="1">
      <s:alignment horizontal="center" vertical="center" mc:Ignorable="vyd"/>
    </s:xf>
    <s:xf numFmtId="0" fontId="2" fillId="0" borderId="34" xfId="17" applyFont="1" applyBorder="1" applyAlignment="1">
      <s:alignment wrapText="1" mc:Ignorable="vyd"/>
    </s:xf>
    <s:xf numFmtId="0" fontId="2" fillId="0" borderId="34" xfId="17" applyFont="1" applyBorder="1" applyAlignment="1">
      <s:alignment horizontal="center" vertical="center" mc:Ignorable="vyd"/>
    </s:xf>
    <s:xf numFmtId="0" fontId="2" fillId="32" borderId="34" xfId="17" applyFill="1" applyBorder="1"/>
    <s:xf numFmtId="0" fontId="2" fillId="0" borderId="34" xfId="17" applyFill="1" applyBorder="1"/>
    <s:xf numFmtId="0" fontId="50" fillId="0" borderId="36" xfId="17" applyFont="1" applyBorder="1" applyAlignment="1">
      <s:alignment horizontal="center" vertical="center" mc:Ignorable="vyd"/>
    </s:xf>
    <s:xf numFmtId="0" fontId="2" fillId="0" borderId="36" xfId="17" applyFont="1" applyBorder="1" applyAlignment="1">
      <s:alignment wrapText="1" mc:Ignorable="vyd"/>
    </s:xf>
    <s:xf numFmtId="0" fontId="2" fillId="0" borderId="36" xfId="17" applyFont="1" applyBorder="1" applyAlignment="1">
      <s:alignment horizontal="center" vertical="center" mc:Ignorable="vyd"/>
    </s:xf>
    <s:xf numFmtId="0" fontId="2" fillId="0" borderId="36" xfId="17" applyFill="1" applyBorder="1"/>
    <s:xf numFmtId="0" fontId="2" fillId="32" borderId="36" xfId="17" applyFill="1" applyBorder="1"/>
    <s:xf numFmtId="0" fontId="2" fillId="0" borderId="36" xfId="17" applyBorder="1"/>
    <s:xf numFmtId="0" fontId="50" fillId="0" borderId="0" xfId="17" applyFont="1" applyBorder="1"/>
    <s:xf numFmtId="0" fontId="50" fillId="0" borderId="0" xfId="17" applyFont="1" applyBorder="1" applyAlignment="1">
      <s:alignment horizontal="right" wrapText="1" mc:Ignorable="vyd"/>
    </s:xf>
    <s:xf numFmtId="0" fontId="50" fillId="0" borderId="0" xfId="17" applyFont="1" applyBorder="1" applyAlignment="1">
      <s:alignment horizontal="center" vertical="center" mc:Ignorable="vyd"/>
    </s:xf>
    <s:xf numFmtId="0" fontId="2" fillId="33" borderId="0" xfId="17" applyFill="1" applyBorder="1"/>
    <s:xf numFmtId="0" fontId="2" fillId="0" borderId="0" xfId="14" applyFont="1" applyFill="1" applyBorder="1" applyAlignment="1">
      <s:alignment horizontal="left" wrapText="1" mc:Ignorable="vyd"/>
    </s:xf>
    <s:xf numFmtId="0" fontId="50" fillId="0" borderId="27" xfId="14" applyFont="1" applyBorder="1" applyAlignment="1">
      <s:alignment horizontal="center" vertical="center" mc:Ignorable="vyd"/>
    </s:xf>
    <s:xf numFmtId="0" fontId="50" fillId="0" borderId="28" xfId="14" applyFont="1" applyBorder="1" applyAlignment="1">
      <s:alignment horizontal="center" vertical="center" wrapText="1" mc:Ignorable="vyd"/>
    </s:xf>
    <s:xf numFmtId="0" fontId="50" fillId="0" borderId="29" xfId="14" applyFont="1" applyBorder="1" applyAlignment="1">
      <s:alignment horizontal="center" vertical="center" wrapText="1" mc:Ignorable="vyd"/>
    </s:xf>
    <s:xf numFmtId="0" fontId="50" fillId="0" borderId="16" xfId="14" applyFont="1" applyBorder="1" applyAlignment="1">
      <s:alignment horizontal="center" vertical="center" mc:Ignorable="vyd"/>
    </s:xf>
    <s:xf numFmtId="0" fontId="50" fillId="0" borderId="19" xfId="14" applyFont="1" applyBorder="1" applyAlignment="1">
      <s:alignment wrapText="1" mc:Ignorable="vyd"/>
    </s:xf>
    <s:xf numFmtId="0" fontId="50" fillId="0" borderId="17" xfId="14" applyFont="1" applyBorder="1" applyAlignment="1">
      <s:alignment horizontal="center" vertical="center" mc:Ignorable="vyd"/>
    </s:xf>
    <s:xf numFmtId="0" fontId="2" fillId="34" borderId="18" xfId="14" applyFill="1" applyBorder="1"/>
    <s:xf numFmtId="0" fontId="2" fillId="34" borderId="19" xfId="14" applyFill="1" applyBorder="1"/>
    <s:xf numFmtId="0" fontId="2" fillId="0" borderId="19" xfId="14" applyFill="1" applyBorder="1"/>
    <s:xf numFmtId="0" fontId="2" fillId="0" borderId="17" xfId="14" applyFill="1" applyBorder="1"/>
    <s:xf numFmtId="0" fontId="2" fillId="0" borderId="18" xfId="14" applyFill="1" applyBorder="1"/>
    <s:xf numFmtId="0" fontId="2" fillId="0" borderId="1" xfId="14" applyFill="1" applyBorder="1"/>
    <s:xf numFmtId="0" fontId="2" fillId="34" borderId="1" xfId="14" applyFill="1" applyBorder="1"/>
    <s:xf numFmtId="0" fontId="50" fillId="0" borderId="1" xfId="14" applyFont="1" applyBorder="1" applyAlignment="1">
      <s:alignment wrapText="1" mc:Ignorable="vyd"/>
    </s:xf>
    <s:xf numFmtId="0" fontId="50" fillId="0" borderId="22" xfId="14" applyFont="1" applyBorder="1" applyAlignment="1">
      <s:alignment horizontal="center" vertical="center" mc:Ignorable="vyd"/>
    </s:xf>
    <s:xf numFmtId="0" fontId="2" fillId="0" borderId="3" xfId="14" applyFill="1" applyBorder="1"/>
    <s:xf numFmtId="0" fontId="2" fillId="0" borderId="22" xfId="14" applyFill="1" applyBorder="1"/>
    <s:xf numFmtId="0" fontId="50" fillId="0" borderId="12" xfId="14" applyFont="1" applyBorder="1"/>
    <s:xf numFmtId="0" fontId="50" fillId="0" borderId="26" xfId="14" applyFont="1" applyBorder="1" applyAlignment="1">
      <s:alignment horizontal="right" wrapText="1" mc:Ignorable="vyd"/>
    </s:xf>
    <s:xf numFmtId="0" fontId="50" fillId="0" borderId="13" xfId="14" applyFont="1" applyBorder="1" applyAlignment="1">
      <s:alignment horizontal="center" vertical="center" mc:Ignorable="vyd"/>
    </s:xf>
    <s:xf numFmtId="0" fontId="2" fillId="33" borderId="14" xfId="14" applyFill="1" applyBorder="1"/>
    <s:xf numFmtId="0" fontId="2" fillId="33" borderId="26" xfId="14" applyFill="1" applyBorder="1"/>
    <s:xf numFmtId="0" fontId="2" fillId="0" borderId="13" xfId="14" applyFill="1" applyBorder="1"/>
    <s:xf numFmtId="0" fontId="2" fillId="0" borderId="14" xfId="14" applyFill="1" applyBorder="1"/>
    <s:xf numFmtId="0" fontId="2" fillId="0" borderId="26" xfId="14" applyFill="1" applyBorder="1"/>
    <s:xf numFmtId="0" fontId="50" fillId="0" borderId="69" xfId="14" applyFont="1" applyBorder="1"/>
    <s:xf numFmtId="0" fontId="2" fillId="0" borderId="0" xfId="14" applyFill="1" applyBorder="1"/>
    <s:xf numFmtId="0" fontId="2" fillId="35" borderId="19" xfId="14" applyFill="1" applyBorder="1"/>
    <s:xf numFmtId="0" fontId="50" fillId="0" borderId="21" xfId="14" applyFont="1" applyBorder="1" applyAlignment="1">
      <s:alignment horizontal="center" vertical="center" mc:Ignorable="vyd"/>
    </s:xf>
    <s:xf numFmtId="0" fontId="2" fillId="36" borderId="1" xfId="14" applyFill="1" applyBorder="1"/>
    <s:xf numFmtId="0" fontId="2" fillId="37" borderId="1" xfId="14" applyFill="1" applyBorder="1"/>
    <s:xf numFmtId="0" fontId="2" fillId="28" borderId="1" xfId="14" applyFill="1" applyBorder="1"/>
    <s:xf numFmtId="0" fontId="50" fillId="0" borderId="1" xfId="14" applyFont="1" applyBorder="1"/>
    <s:xf numFmtId="0" fontId="50" fillId="0" borderId="1" xfId="14" applyFont="1" applyBorder="1" applyAlignment="1">
      <s:alignment horizontal="right" wrapText="1" mc:Ignorable="vyd"/>
    </s:xf>
    <s:xf numFmtId="0" fontId="50" fillId="0" borderId="70" xfId="14" applyFont="1" applyBorder="1" applyAlignment="1">
      <s:alignment horizontal="center" vertical="center" mc:Ignorable="vyd"/>
    </s:xf>
    <s:xf numFmtId="164" fontId="0" fillId="38" borderId="8" xfId="0" applyFill="1" applyBorder="1" applyAlignment="1"/>
    <s:xf numFmtId="164" fontId="0" fillId="38" borderId="6" xfId="0" applyFill="1" applyBorder="1" applyAlignment="1"/>
    <s:xf numFmtId="164" fontId="0" fillId="38" borderId="33" xfId="0" applyFill="1" applyBorder="1"/>
    <s:xf numFmtId="164" fontId="0" fillId="38" borderId="7" xfId="0" applyFill="1" applyBorder="1"/>
    <s:xf numFmtId="164" fontId="0" fillId="38" borderId="24" xfId="0" applyFill="1" applyBorder="1" applyAlignment="1">
      <s:alignment wrapText="1" mc:Ignorable="vyd"/>
    </s:xf>
    <s:xf numFmtId="164" fontId="0" fillId="38" borderId="21" xfId="0" applyFill="1" applyBorder="1" applyAlignment="1"/>
    <s:xf numFmtId="164" fontId="0" fillId="38" borderId="2" xfId="0" applyFill="1" applyBorder="1"/>
    <s:xf numFmtId="164" fontId="0" fillId="38" borderId="22" xfId="0" applyFill="1" applyBorder="1"/>
    <s:xf numFmtId="165" fontId="0" fillId="21" borderId="21" xfId="9" applyFont="1" applyFill="1" applyBorder="1"/>
    <s:xf numFmtId="165" fontId="0" fillId="38" borderId="2" xfId="9" applyFont="1" applyFill="1" applyBorder="1"/>
    <s:xf numFmtId="43" fontId="0" fillId="38" borderId="22" xfId="0" applyNumberFormat="1" applyFill="1" applyBorder="1"/>
    <s:xf numFmtId="165" fontId="0" fillId="21" borderId="12" xfId="9" applyFont="1" applyFill="1" applyBorder="1"/>
    <s:xf numFmtId="165" fontId="0" fillId="38" borderId="71" xfId="9" applyFont="1" applyFill="1" applyBorder="1"/>
    <s:xf numFmtId="43" fontId="0" fillId="38" borderId="13" xfId="0" applyNumberFormat="1" applyFill="1" applyBorder="1"/>
    <s:xf numFmtId="164" fontId="0" fillId="0" borderId="0" xfId="0" applyAlignment="1"/>
    <s:xf numFmtId="164" fontId="0" fillId="38" borderId="43" xfId="0" applyFill="1" applyBorder="1" applyAlignment="1"/>
    <s:xf numFmtId="164" fontId="0" fillId="38" borderId="66" xfId="0" applyFill="1" applyBorder="1"/>
    <s:xf numFmtId="164" fontId="0" fillId="38" borderId="44" xfId="0" applyFill="1" applyBorder="1"/>
    <s:xf numFmtId="165" fontId="0" fillId="38" borderId="22" xfId="9" applyFont="1" applyFill="1" applyBorder="1"/>
    <s:xf numFmtId="165" fontId="0" fillId="28" borderId="21" xfId="9" applyFont="1" applyFill="1" applyBorder="1"/>
    <s:xf numFmtId="165" fontId="0" fillId="38" borderId="13" xfId="9" applyFont="1" applyFill="1" applyBorder="1"/>
    <s:xf numFmtId="1" fontId="26" fillId="3" borderId="1" xfId="0" applyNumberFormat="1" applyFont="1" applyFill="1" applyBorder="1"/>
    <s:xf numFmtId="49" fontId="6" fillId="0" borderId="0" xfId="0" applyNumberFormat="1" applyFont="1"/>
    <s:xf numFmtId="49" fontId="10" fillId="0" borderId="0" xfId="0" applyNumberFormat="1" applyFont="1"/>
    <s:xf numFmtId="0" fontId="37" fillId="0" borderId="1" xfId="13" applyFill="1" applyBorder="1" applyAlignment="1">
      <s:alignment horizontal="left" vertical="center" wrapText="1" mc:Ignorable="vyd"/>
    </s:xf>
    <s:xf numFmtId="0" fontId="37" fillId="0" borderId="1" xfId="13" applyBorder="1" applyAlignment="1">
      <s:alignment vertical="center" wrapText="1" mc:Ignorable="vyd"/>
    </s:xf>
    <s:xf numFmtId="49" fontId="0" fillId="0" borderId="0" xfId="0" applyNumberFormat="1"/>
    <s:xf numFmtId="9" fontId="0" fillId="0" borderId="0" xfId="8" applyFont="1"/>
    <s:xf numFmtId="49" fontId="0" fillId="21" borderId="0" xfId="0" applyNumberFormat="1" applyFill="1"/>
    <s:xf numFmtId="0" fontId="1" fillId="0" borderId="0" xfId="14" applyFont="1" applyAlignment="1">
      <s:alignment horizontal="left" mc:Ignorable="vyd"/>
    </s:xf>
    <s:xf numFmtId="0" fontId="1" fillId="0" borderId="0" xfId="14" applyFont="1" applyAlignment="1"/>
    <s:xf numFmtId="0" fontId="2" fillId="21" borderId="22" xfId="14" applyFill="1" applyBorder="1" applyAlignment="1">
      <s:alignment wrapText="1" mc:Ignorable="vyd"/>
    </s:xf>
    <s:xf numFmtId="0" fontId="2" fillId="21" borderId="1" xfId="14" applyFill="1" applyBorder="1" applyAlignment="1">
      <s:alignment wrapText="1" mc:Ignorable="vyd"/>
    </s:xf>
    <s:xf numFmtId="0" fontId="1" fillId="21" borderId="0" xfId="14" applyFont="1" applyFill="1"/>
    <s:xf numFmtId="0" fontId="1" fillId="21" borderId="0" xfId="14" applyFont="1" applyFill="1" applyAlignment="1"/>
    <s:xf numFmtId="0" fontId="2" fillId="21" borderId="0" xfId="14" applyFill="1"/>
    <s:xf numFmtId="14" fontId="10" fillId="3" borderId="1" xfId="0" applyNumberFormat="1" applyFont="1" applyFill="1" applyBorder="1" applyAlignment="1" applyProtection="1">
      <s:alignment horizontal="left" wrapText="1" mc:Ignorable="vyd"/>
      <s:protection locked="0"/>
    </s:xf>
    <s:xf numFmtId="164" fontId="10" fillId="3" borderId="1" xfId="0" applyFont="1" applyFill="1" applyBorder="1" applyAlignment="1" applyProtection="1">
      <s:alignment horizontal="left" wrapText="1" mc:Ignorable="vyd"/>
      <s:protection locked="0"/>
    </s:xf>
    <s:xf numFmtId="164" fontId="10" fillId="3" borderId="2" xfId="0" applyFont="1" applyFill="1" applyBorder="1" applyAlignment="1" applyProtection="1">
      <s:alignment horizontal="left" wrapText="1" mc:Ignorable="vyd"/>
      <s:protection locked="0"/>
    </s:xf>
    <s:xf numFmtId="164" fontId="10" fillId="3" borderId="3" xfId="0" applyFont="1" applyFill="1" applyBorder="1" applyAlignment="1" applyProtection="1">
      <s:alignment horizontal="left" wrapText="1" mc:Ignorable="vyd"/>
      <s:protection locked="0"/>
    </s:xf>
    <s:xf numFmtId="164" fontId="6" fillId="2" borderId="6" xfId="0" applyFont="1" applyFill="1" applyBorder="1" applyAlignment="1">
      <s:alignment horizontal="center" vertical="center" mc:Ignorable="vyd"/>
    </s:xf>
    <s:xf numFmtId="164" fontId="6" fillId="2" borderId="9" xfId="0" applyFont="1" applyFill="1" applyBorder="1" applyAlignment="1">
      <s:alignment horizontal="center" vertical="center" mc:Ignorable="vyd"/>
    </s:xf>
    <s:xf numFmtId="164" fontId="6" fillId="2" borderId="7" xfId="0" applyFont="1" applyFill="1" applyBorder="1" applyAlignment="1">
      <s:alignment horizontal="center" vertical="center" mc:Ignorable="vyd"/>
    </s:xf>
    <s:xf numFmtId="164" fontId="6" fillId="2" borderId="12" xfId="0" applyFont="1" applyFill="1" applyBorder="1" applyAlignment="1">
      <s:alignment horizontal="center" vertical="center" mc:Ignorable="vyd"/>
    </s:xf>
    <s:xf numFmtId="164" fontId="6" fillId="2" borderId="42" xfId="0" applyFont="1" applyFill="1" applyBorder="1" applyAlignment="1">
      <s:alignment horizontal="center" vertical="center" mc:Ignorable="vyd"/>
    </s:xf>
    <s:xf numFmtId="164" fontId="6" fillId="2" borderId="13" xfId="0" applyFont="1" applyFill="1" applyBorder="1" applyAlignment="1">
      <s:alignment horizontal="center" vertical="center" mc:Ignorable="vyd"/>
    </s:xf>
    <s:xf numFmtId="164" fontId="6" fillId="2" borderId="8" xfId="0" applyFont="1" applyFill="1" applyBorder="1" applyAlignment="1">
      <s:alignment horizontal="center" vertical="center" wrapText="1" mc:Ignorable="vyd"/>
    </s:xf>
    <s:xf numFmtId="164" fontId="6" fillId="2" borderId="9" xfId="0" applyFont="1" applyFill="1" applyBorder="1" applyAlignment="1">
      <s:alignment horizontal="center" vertical="center" wrapText="1" mc:Ignorable="vyd"/>
    </s:xf>
    <s:xf numFmtId="164" fontId="6" fillId="2" borderId="10" xfId="0" applyFont="1" applyFill="1" applyBorder="1" applyAlignment="1">
      <s:alignment horizontal="center" vertical="center" wrapText="1" mc:Ignorable="vyd"/>
    </s:xf>
    <s:xf numFmtId="164" fontId="6" fillId="2" borderId="11" xfId="0" applyFont="1" applyFill="1" applyBorder="1" applyAlignment="1">
      <s:alignment horizontal="center" vertical="center" mc:Ignorable="vyd"/>
    </s:xf>
    <s:xf numFmtId="164" fontId="6" fillId="2" borderId="15" xfId="0" applyFont="1" applyFill="1" applyBorder="1" applyAlignment="1">
      <s:alignment horizontal="center" vertical="center" mc:Ignorable="vyd"/>
    </s:xf>
    <s:xf numFmtId="164" fontId="22" fillId="4" borderId="16" xfId="0" applyFont="1" applyFill="1" applyBorder="1" applyAlignment="1">
      <s:alignment horizontal="left" vertical="center" mc:Ignorable="vyd"/>
    </s:xf>
    <s:xf numFmtId="164" fontId="22" fillId="4" borderId="36" xfId="0" applyFont="1" applyFill="1" applyBorder="1" applyAlignment="1">
      <s:alignment horizontal="left" vertical="center" mc:Ignorable="vyd"/>
    </s:xf>
    <s:xf numFmtId="164" fontId="22" fillId="4" borderId="17" xfId="0" applyFont="1" applyFill="1" applyBorder="1" applyAlignment="1">
      <s:alignment horizontal="left" vertical="center" mc:Ignorable="vyd"/>
    </s:xf>
    <s:xf numFmtId="164" fontId="10" fillId="4" borderId="21" xfId="0" applyFont="1" applyFill="1" applyBorder="1" applyAlignment="1">
      <s:alignment horizontal="left" vertical="center" indent="2" mc:Ignorable="vyd"/>
    </s:xf>
    <s:xf numFmtId="164" fontId="10" fillId="4" borderId="34" xfId="0" applyFont="1" applyFill="1" applyBorder="1" applyAlignment="1">
      <s:alignment horizontal="left" vertical="center" indent="2" mc:Ignorable="vyd"/>
    </s:xf>
    <s:xf numFmtId="164" fontId="10" fillId="4" borderId="22" xfId="0" applyFont="1" applyFill="1" applyBorder="1" applyAlignment="1">
      <s:alignment horizontal="left" vertical="center" indent="2" mc:Ignorable="vyd"/>
    </s:xf>
    <s:xf numFmtId="164" fontId="22" fillId="5" borderId="21" xfId="0" applyFont="1" applyFill="1" applyBorder="1" applyAlignment="1">
      <s:alignment horizontal="left" vertical="center" mc:Ignorable="vyd"/>
    </s:xf>
    <s:xf numFmtId="164" fontId="22" fillId="5" borderId="34" xfId="0" applyFont="1" applyFill="1" applyBorder="1" applyAlignment="1">
      <s:alignment horizontal="left" vertical="center" mc:Ignorable="vyd"/>
    </s:xf>
    <s:xf numFmtId="164" fontId="22" fillId="5" borderId="22" xfId="0" applyFont="1" applyFill="1" applyBorder="1" applyAlignment="1">
      <s:alignment horizontal="left" vertical="center" mc:Ignorable="vyd"/>
    </s:xf>
    <s:xf numFmtId="164" fontId="10" fillId="2" borderId="24" xfId="0" applyFont="1" applyFill="1" applyBorder="1" applyAlignment="1">
      <s:alignment horizontal="left" vertical="center" indent="2" mc:Ignorable="vyd"/>
    </s:xf>
    <s:xf numFmtId="164" fontId="10" fillId="2" borderId="34" xfId="0" applyFont="1" applyFill="1" applyBorder="1" applyAlignment="1">
      <s:alignment horizontal="left" vertical="center" indent="2" mc:Ignorable="vyd"/>
    </s:xf>
    <s:xf numFmtId="164" fontId="10" fillId="2" borderId="25" xfId="0" applyFont="1" applyFill="1" applyBorder="1" applyAlignment="1">
      <s:alignment horizontal="left" vertical="center" indent="2" mc:Ignorable="vyd"/>
    </s:xf>
    <s:xf numFmtId="164" fontId="6" fillId="5" borderId="21" xfId="0" applyFont="1" applyFill="1" applyBorder="1" applyAlignment="1">
      <s:alignment horizontal="left" vertical="center" indent="2" mc:Ignorable="vyd"/>
    </s:xf>
    <s:xf numFmtId="164" fontId="6" fillId="5" borderId="34" xfId="0" applyFont="1" applyFill="1" applyBorder="1" applyAlignment="1">
      <s:alignment horizontal="left" vertical="center" indent="2" mc:Ignorable="vyd"/>
    </s:xf>
    <s:xf numFmtId="164" fontId="6" fillId="5" borderId="22" xfId="0" applyFont="1" applyFill="1" applyBorder="1" applyAlignment="1">
      <s:alignment horizontal="left" vertical="center" indent="2" mc:Ignorable="vyd"/>
    </s:xf>
    <s:xf numFmtId="164" fontId="10" fillId="2" borderId="21" xfId="0" applyFont="1" applyFill="1" applyBorder="1" applyAlignment="1">
      <s:alignment horizontal="left" vertical="center" indent="3" mc:Ignorable="vyd"/>
    </s:xf>
    <s:xf numFmtId="164" fontId="10" fillId="2" borderId="34" xfId="0" applyFont="1" applyFill="1" applyBorder="1" applyAlignment="1">
      <s:alignment horizontal="left" vertical="center" indent="3" mc:Ignorable="vyd"/>
    </s:xf>
    <s:xf numFmtId="164" fontId="10" fillId="2" borderId="22" xfId="0" applyFont="1" applyFill="1" applyBorder="1" applyAlignment="1">
      <s:alignment horizontal="left" vertical="center" indent="3" mc:Ignorable="vyd"/>
    </s:xf>
    <s:xf numFmtId="164" fontId="22" fillId="8" borderId="21" xfId="0" applyFont="1" applyFill="1" applyBorder="1" applyAlignment="1">
      <s:alignment horizontal="left" mc:Ignorable="vyd"/>
    </s:xf>
    <s:xf numFmtId="164" fontId="22" fillId="8" borderId="34" xfId="0" applyFont="1" applyFill="1" applyBorder="1" applyAlignment="1">
      <s:alignment horizontal="left" mc:Ignorable="vyd"/>
    </s:xf>
    <s:xf numFmtId="164" fontId="22" fillId="8" borderId="22" xfId="0" applyFont="1" applyFill="1" applyBorder="1" applyAlignment="1">
      <s:alignment horizontal="left" mc:Ignorable="vyd"/>
    </s:xf>
    <s:xf numFmtId="164" fontId="10" fillId="9" borderId="21" xfId="0" applyFont="1" applyFill="1" applyBorder="1" applyAlignment="1">
      <s:alignment horizontal="left" vertical="center" indent="2" mc:Ignorable="vyd"/>
    </s:xf>
    <s:xf numFmtId="164" fontId="10" fillId="9" borderId="34" xfId="0" applyFont="1" applyFill="1" applyBorder="1" applyAlignment="1">
      <s:alignment horizontal="left" vertical="center" indent="2" mc:Ignorable="vyd"/>
    </s:xf>
    <s:xf numFmtId="164" fontId="10" fillId="9" borderId="22" xfId="0" applyFont="1" applyFill="1" applyBorder="1" applyAlignment="1">
      <s:alignment horizontal="left" vertical="center" indent="2" mc:Ignorable="vyd"/>
    </s:xf>
    <s:xf numFmtId="164" fontId="10" fillId="9" borderId="12" xfId="0" applyFont="1" applyFill="1" applyBorder="1" applyAlignment="1">
      <s:alignment horizontal="left" vertical="center" indent="2" mc:Ignorable="vyd"/>
    </s:xf>
    <s:xf numFmtId="164" fontId="10" fillId="9" borderId="42" xfId="0" applyFont="1" applyFill="1" applyBorder="1" applyAlignment="1">
      <s:alignment horizontal="left" vertical="center" indent="2" mc:Ignorable="vyd"/>
    </s:xf>
    <s:xf numFmtId="164" fontId="10" fillId="9" borderId="13" xfId="0" applyFont="1" applyFill="1" applyBorder="1" applyAlignment="1">
      <s:alignment horizontal="left" vertical="center" indent="2" mc:Ignorable="vyd"/>
    </s:xf>
    <s:xf numFmtId="164" fontId="21" fillId="2" borderId="1" xfId="0" applyFont="1" applyFill="1" applyBorder="1" applyAlignment="1">
      <s:alignment horizontal="left" mc:Ignorable="vyd"/>
    </s:xf>
    <s:xf numFmtId="164" fontId="21" fillId="2" borderId="30" xfId="0" applyFont="1" applyFill="1" applyBorder="1" applyAlignment="1">
      <s:alignment horizontal="center" vertical="center" wrapText="1" mc:Ignorable="vyd"/>
    </s:xf>
    <s:xf numFmtId="164" fontId="21" fillId="2" borderId="31" xfId="0" applyFont="1" applyFill="1" applyBorder="1" applyAlignment="1">
      <s:alignment horizontal="center" vertical="center" wrapText="1" mc:Ignorable="vyd"/>
    </s:xf>
    <s:xf numFmtId="164" fontId="21" fillId="2" borderId="32" xfId="0" applyFont="1" applyFill="1" applyBorder="1" applyAlignment="1">
      <s:alignment horizontal="center" vertical="center" wrapText="1" mc:Ignorable="vyd"/>
    </s:xf>
    <s:xf numFmtId="164" fontId="21" fillId="2" borderId="2" xfId="0" applyFont="1" applyFill="1" applyBorder="1" applyAlignment="1">
      <s:alignment horizontal="left" mc:Ignorable="vyd"/>
    </s:xf>
    <s:xf numFmtId="164" fontId="21" fillId="2" borderId="34" xfId="0" applyFont="1" applyFill="1" applyBorder="1" applyAlignment="1">
      <s:alignment horizontal="left" mc:Ignorable="vyd"/>
    </s:xf>
    <s:xf numFmtId="164" fontId="21" fillId="2" borderId="3" xfId="0" applyFont="1" applyFill="1" applyBorder="1" applyAlignment="1">
      <s:alignment horizontal="left" mc:Ignorable="vyd"/>
    </s:xf>
    <s:xf numFmtId="164" fontId="21" fillId="2" borderId="28" xfId="0" applyFont="1" applyFill="1" applyBorder="1" applyAlignment="1">
      <s:alignment horizontal="center" vertical="center" mc:Ignorable="vyd"/>
    </s:xf>
    <s:xf numFmtId="164" fontId="21" fillId="2" borderId="29" xfId="0" applyFont="1" applyFill="1" applyBorder="1" applyAlignment="1">
      <s:alignment horizontal="center" vertical="center" mc:Ignorable="vyd"/>
    </s:xf>
    <s:xf numFmtId="164" fontId="21" fillId="2" borderId="35" xfId="0" applyFont="1" applyFill="1" applyBorder="1" applyAlignment="1">
      <s:alignment horizontal="center" vertical="center" mc:Ignorable="vyd"/>
    </s:xf>
    <s:xf numFmtId="164" fontId="21" fillId="2" borderId="36" xfId="0" applyFont="1" applyFill="1" applyBorder="1" applyAlignment="1">
      <s:alignment horizontal="center" vertical="center" mc:Ignorable="vyd"/>
    </s:xf>
    <s:xf numFmtId="164" fontId="21" fillId="2" borderId="18" xfId="0" applyFont="1" applyFill="1" applyBorder="1" applyAlignment="1">
      <s:alignment horizontal="center" vertical="center" mc:Ignorable="vyd"/>
    </s:xf>
    <s:xf numFmtId="164" fontId="16" fillId="3" borderId="2" xfId="0" applyFont="1" applyFill="1" applyBorder="1" applyAlignment="1" applyProtection="1">
      <s:alignment horizontal="left" vertical="center" wrapText="1" mc:Ignorable="vyd"/>
      <s:protection locked="0"/>
    </s:xf>
    <s:xf numFmtId="164" fontId="16" fillId="3" borderId="34" xfId="0" applyFont="1" applyFill="1" applyBorder="1" applyAlignment="1" applyProtection="1">
      <s:alignment horizontal="left" vertical="center" wrapText="1" mc:Ignorable="vyd"/>
      <s:protection locked="0"/>
    </s:xf>
    <s:xf numFmtId="164" fontId="16" fillId="3" borderId="3" xfId="0" applyFont="1" applyFill="1" applyBorder="1" applyAlignment="1" applyProtection="1">
      <s:alignment horizontal="left" vertical="center" wrapText="1" mc:Ignorable="vyd"/>
      <s:protection locked="0"/>
    </s:xf>
    <s:xf numFmtId="170" fontId="16" fillId="3" borderId="2" xfId="0" applyNumberFormat="1" applyFont="1" applyFill="1" applyBorder="1" applyAlignment="1" applyProtection="1">
      <s:alignment horizontal="center" vertical="center" mc:Ignorable="vyd"/>
      <s:protection locked="0"/>
    </s:xf>
    <s:xf numFmtId="170" fontId="16" fillId="3" borderId="34" xfId="0" applyNumberFormat="1" applyFont="1" applyFill="1" applyBorder="1" applyAlignment="1" applyProtection="1">
      <s:alignment horizontal="center" vertical="center" mc:Ignorable="vyd"/>
      <s:protection locked="0"/>
    </s:xf>
    <s:xf numFmtId="170" fontId="16" fillId="3" borderId="3" xfId="0" applyNumberFormat="1" applyFont="1" applyFill="1" applyBorder="1" applyAlignment="1" applyProtection="1">
      <s:alignment horizontal="center" vertical="center" mc:Ignorable="vyd"/>
      <s:protection locked="0"/>
    </s:xf>
    <s:xf numFmtId="164" fontId="16" fillId="3" borderId="2" xfId="7" applyNumberFormat="1" applyFont="1" applyFill="1" applyBorder="1" applyAlignment="1" applyProtection="1">
      <s:alignment horizontal="center" vertical="center" mc:Ignorable="vyd"/>
      <s:protection locked="0"/>
    </s:xf>
    <s:xf numFmtId="164" fontId="16" fillId="3" borderId="34" xfId="7" applyNumberFormat="1" applyFont="1" applyFill="1" applyBorder="1" applyAlignment="1" applyProtection="1">
      <s:alignment horizontal="center" vertical="center" mc:Ignorable="vyd"/>
      <s:protection locked="0"/>
    </s:xf>
    <s:xf numFmtId="164" fontId="16" fillId="3" borderId="3" xfId="7" applyNumberFormat="1" applyFont="1" applyFill="1" applyBorder="1" applyAlignment="1" applyProtection="1">
      <s:alignment horizontal="center" vertical="center" mc:Ignorable="vyd"/>
      <s:protection locked="0"/>
    </s:xf>
    <s:xf numFmtId="164" fontId="21" fillId="2" borderId="1" xfId="0" applyFont="1" applyFill="1" applyBorder="1" applyAlignment="1">
      <s:alignment horizontal="left" vertical="center" mc:Ignorable="vyd"/>
    </s:xf>
    <s:xf numFmtId="164" fontId="21" fillId="2" borderId="28" xfId="0" applyFont="1" applyFill="1" applyBorder="1" applyAlignment="1">
      <s:alignment horizontal="center" vertical="center" wrapText="1" mc:Ignorable="vyd"/>
    </s:xf>
    <s:xf numFmtId="164" fontId="21" fillId="2" borderId="35" xfId="0" applyFont="1" applyFill="1" applyBorder="1" applyAlignment="1">
      <s:alignment horizontal="center" vertical="center" wrapText="1" mc:Ignorable="vyd"/>
    </s:xf>
    <s:xf numFmtId="164" fontId="21" fillId="2" borderId="36" xfId="0" applyFont="1" applyFill="1" applyBorder="1" applyAlignment="1">
      <s:alignment horizontal="center" vertical="center" wrapText="1" mc:Ignorable="vyd"/>
    </s:xf>
    <s:xf numFmtId="164" fontId="21" fillId="2" borderId="18" xfId="0" applyFont="1" applyFill="1" applyBorder="1" applyAlignment="1">
      <s:alignment horizontal="center" vertical="center" wrapText="1" mc:Ignorable="vyd"/>
    </s:xf>
    <s:xf numFmtId="164" fontId="21" fillId="2" borderId="19" xfId="0" applyFont="1" applyFill="1" applyBorder="1" applyAlignment="1">
      <s:alignment horizontal="center" vertical="center" mc:Ignorable="vyd"/>
    </s:xf>
    <s:xf numFmtId="170" fontId="16" fillId="3" borderId="1" xfId="0" applyNumberFormat="1" applyFont="1" applyFill="1" applyBorder="1" applyAlignment="1" applyProtection="1">
      <s:alignment horizontal="left" vertical="center" mc:Ignorable="vyd"/>
      <s:protection locked="0"/>
    </s:xf>
    <s:xf numFmtId="164" fontId="16" fillId="3" borderId="2" xfId="0" applyFont="1" applyFill="1" applyBorder="1" applyAlignment="1" applyProtection="1">
      <s:alignment horizontal="center" vertical="center" wrapText="1" mc:Ignorable="vyd"/>
      <s:protection locked="0"/>
    </s:xf>
    <s:xf numFmtId="164" fontId="16" fillId="3" borderId="34" xfId="0" applyFont="1" applyFill="1" applyBorder="1" applyAlignment="1" applyProtection="1">
      <s:alignment horizontal="center" vertical="center" wrapText="1" mc:Ignorable="vyd"/>
      <s:protection locked="0"/>
    </s:xf>
    <s:xf numFmtId="164" fontId="16" fillId="3" borderId="3" xfId="0" applyFont="1" applyFill="1" applyBorder="1" applyAlignment="1" applyProtection="1">
      <s:alignment horizontal="center" vertical="center" wrapText="1" mc:Ignorable="vyd"/>
      <s:protection locked="0"/>
    </s:xf>
    <s:xf numFmtId="164" fontId="16" fillId="3" borderId="1" xfId="0" applyFont="1" applyFill="1" applyBorder="1" applyAlignment="1" applyProtection="1">
      <s:alignment vertical="center" wrapText="1" mc:Ignorable="vyd"/>
      <s:protection locked="0"/>
    </s:xf>
    <s:xf numFmtId="164" fontId="16" fillId="3" borderId="1" xfId="0" applyFont="1" applyFill="1" applyBorder="1" applyAlignment="1" applyProtection="1">
      <s:alignment vertical="center" mc:Ignorable="vyd"/>
      <s:protection locked="0"/>
    </s:xf>
    <s:xf numFmtId="164" fontId="21" fillId="2" borderId="29" xfId="0" applyFont="1" applyFill="1" applyBorder="1" applyAlignment="1">
      <s:alignment horizontal="center" vertical="center" wrapText="1" mc:Ignorable="vyd"/>
    </s:xf>
    <s:xf numFmtId="164" fontId="21" fillId="2" borderId="19" xfId="0" applyFont="1" applyFill="1" applyBorder="1" applyAlignment="1">
      <s:alignment horizontal="center" vertical="center" wrapText="1" mc:Ignorable="vyd"/>
    </s:xf>
    <s:xf numFmtId="170" fontId="16" fillId="3" borderId="1" xfId="0" applyNumberFormat="1" applyFont="1" applyFill="1" applyBorder="1" applyAlignment="1" applyProtection="1">
      <s:alignment horizontal="left" vertical="center" indent="1" mc:Ignorable="vyd"/>
      <s:protection locked="0"/>
    </s:xf>
    <s:xf numFmtId="164" fontId="16" fillId="2" borderId="1" xfId="0" applyFont="1" applyFill="1" applyBorder="1" applyAlignment="1">
      <s:alignment horizontal="center" vertical="center" mc:Ignorable="vyd"/>
    </s:xf>
    <s:xf numFmtId="164" fontId="21" fillId="2" borderId="37" xfId="0" applyFont="1" applyFill="1" applyBorder="1" applyAlignment="1">
      <s:alignment horizontal="center" vertical="center" wrapText="1" mc:Ignorable="vyd"/>
    </s:xf>
    <s:xf numFmtId="0" fontId="51" fillId="0" borderId="1" xfId="13" applyFont="1" applyBorder="1" applyAlignment="1">
      <s:alignment horizontal="center" vertical="center" textRotation="90" wrapText="1" mc:Ignorable="vyd"/>
    </s:xf>
    <s:xf numFmtId="0" fontId="37" fillId="0" borderId="4" xfId="13" applyBorder="1" applyAlignment="1">
      <s:alignment horizontal="left" vertical="center" wrapText="1" mc:Ignorable="vyd"/>
    </s:xf>
    <s:xf numFmtId="0" fontId="37" fillId="0" borderId="40" xfId="13" applyBorder="1" applyAlignment="1">
      <s:alignment horizontal="left" vertical="center" wrapText="1" mc:Ignorable="vyd"/>
    </s:xf>
    <s:xf numFmtId="0" fontId="37" fillId="0" borderId="19" xfId="13" applyBorder="1" applyAlignment="1">
      <s:alignment horizontal="left" vertical="center" wrapText="1" mc:Ignorable="vyd"/>
    </s:xf>
    <s:xf numFmtId="0" fontId="51" fillId="0" borderId="1" xfId="13" applyFont="1" applyBorder="1" applyAlignment="1">
      <s:alignment horizontal="center" vertical="center" textRotation="90" mc:Ignorable="vyd"/>
    </s:xf>
    <s:xf numFmtId="0" fontId="37" fillId="0" borderId="1" xfId="13" applyFill="1" applyBorder="1" applyAlignment="1">
      <s:alignment horizontal="left" vertical="center" wrapText="1" mc:Ignorable="vyd"/>
    </s:xf>
    <s:xf numFmtId="0" fontId="37" fillId="0" borderId="4" xfId="13" applyFill="1" applyBorder="1" applyAlignment="1">
      <s:alignment horizontal="left" vertical="center" wrapText="1" mc:Ignorable="vyd"/>
    </s:xf>
    <s:xf numFmtId="0" fontId="37" fillId="0" borderId="40" xfId="13" applyFill="1" applyBorder="1" applyAlignment="1">
      <s:alignment horizontal="left" vertical="center" wrapText="1" mc:Ignorable="vyd"/>
    </s:xf>
    <s:xf numFmtId="0" fontId="37" fillId="0" borderId="19" xfId="13" applyFill="1" applyBorder="1" applyAlignment="1">
      <s:alignment horizontal="left" vertical="center" wrapText="1" mc:Ignorable="vyd"/>
    </s:xf>
    <s:xf numFmtId="0" fontId="51" fillId="0" borderId="4" xfId="13" applyFont="1" applyBorder="1" applyAlignment="1">
      <s:alignment horizontal="center" vertical="center" textRotation="90" wrapText="1" mc:Ignorable="vyd"/>
    </s:xf>
    <s:xf numFmtId="0" fontId="51" fillId="0" borderId="40" xfId="13" applyFont="1" applyBorder="1" applyAlignment="1">
      <s:alignment horizontal="center" vertical="center" textRotation="90" wrapText="1" mc:Ignorable="vyd"/>
    </s:xf>
    <s:xf numFmtId="0" fontId="51" fillId="0" borderId="19" xfId="13" applyFont="1" applyBorder="1" applyAlignment="1">
      <s:alignment horizontal="center" vertical="center" textRotation="90" wrapText="1" mc:Ignorable="vyd"/>
    </s:xf>
    <s:xf numFmtId="0" fontId="37" fillId="0" borderId="4" xfId="13" applyBorder="1" applyAlignment="1">
      <s:alignment horizontal="center" vertical="center" wrapText="1" mc:Ignorable="vyd"/>
    </s:xf>
    <s:xf numFmtId="0" fontId="37" fillId="0" borderId="40" xfId="13" applyBorder="1" applyAlignment="1">
      <s:alignment horizontal="center" vertical="center" wrapText="1" mc:Ignorable="vyd"/>
    </s:xf>
    <s:xf numFmtId="0" fontId="37" fillId="0" borderId="19" xfId="13" applyBorder="1" applyAlignment="1">
      <s:alignment horizontal="center" vertical="center" wrapText="1" mc:Ignorable="vyd"/>
    </s:xf>
    <s:xf numFmtId="0" fontId="37" fillId="0" borderId="1" xfId="13" applyBorder="1" applyAlignment="1">
      <s:alignment horizontal="center" vertical="center" wrapText="1" mc:Ignorable="vyd"/>
    </s:xf>
    <s:xf numFmtId="0" fontId="51" fillId="0" borderId="4" xfId="13" applyFont="1" applyBorder="1" applyAlignment="1">
      <s:alignment horizontal="center" vertical="center" textRotation="90" mc:Ignorable="vyd"/>
    </s:xf>
    <s:xf numFmtId="0" fontId="51" fillId="0" borderId="40" xfId="13" applyFont="1" applyBorder="1" applyAlignment="1">
      <s:alignment horizontal="center" vertical="center" textRotation="90" mc:Ignorable="vyd"/>
    </s:xf>
    <s:xf numFmtId="0" fontId="51" fillId="0" borderId="19" xfId="13" applyFont="1" applyBorder="1" applyAlignment="1">
      <s:alignment horizontal="center" vertical="center" textRotation="90" mc:Ignorable="vyd"/>
    </s:xf>
    <s:xf numFmtId="0" fontId="50" fillId="0" borderId="2" xfId="13" applyFont="1" applyBorder="1" applyAlignment="1">
      <s:alignment horizontal="center" vertical="center" wrapText="1" mc:Ignorable="vyd"/>
    </s:xf>
    <s:xf numFmtId="0" fontId="50" fillId="0" borderId="34" xfId="13" applyFont="1" applyBorder="1" applyAlignment="1">
      <s:alignment horizontal="center" vertical="center" wrapText="1" mc:Ignorable="vyd"/>
    </s:xf>
    <s:xf numFmtId="0" fontId="50" fillId="0" borderId="3" xfId="13" applyFont="1" applyBorder="1" applyAlignment="1">
      <s:alignment horizontal="center" vertical="center" wrapText="1" mc:Ignorable="vyd"/>
    </s:xf>
    <s:xf numFmtId="0" fontId="2" fillId="30" borderId="39" xfId="14" applyFill="1" applyBorder="1" applyAlignment="1">
      <s:alignment horizontal="center" vertical="center" mc:Ignorable="vyd"/>
    </s:xf>
    <s:xf numFmtId="0" fontId="2" fillId="30" borderId="16" xfId="14" applyFill="1" applyBorder="1" applyAlignment="1">
      <s:alignment horizontal="center" vertical="center" mc:Ignorable="vyd"/>
    </s:xf>
    <s:xf numFmtId="0" fontId="2" fillId="30" borderId="21" xfId="14" applyFill="1" applyBorder="1" applyAlignment="1">
      <s:alignment horizontal="center" vertical="center" mc:Ignorable="vyd"/>
    </s:xf>
    <s:xf numFmtId="9" fontId="0" fillId="0" borderId="22" xfId="16" applyFont="1" applyFill="1" applyBorder="1" applyAlignment="1">
      <s:alignment horizontal="center" vertical="center" wrapText="1" mc:Ignorable="vyd"/>
    </s:xf>
    <s:xf numFmtId="0" fontId="2" fillId="0" borderId="68" xfId="14" applyBorder="1" applyAlignment="1">
      <s:alignment horizontal="left" vertical="center" mc:Ignorable="vyd"/>
    </s:xf>
    <s:xf numFmtId="0" fontId="2" fillId="0" borderId="31" xfId="14" applyBorder="1" applyAlignment="1">
      <s:alignment horizontal="left" vertical="center" mc:Ignorable="vyd"/>
    </s:xf>
    <s:xf numFmtId="0" fontId="2" fillId="0" borderId="37" xfId="14" applyBorder="1" applyAlignment="1">
      <s:alignment horizontal="left" vertical="center" mc:Ignorable="vyd"/>
    </s:xf>
    <s:xf numFmtId="0" fontId="50" fillId="29" borderId="43" xfId="14" applyFont="1" applyFill="1" applyBorder="1" applyAlignment="1">
      <s:alignment horizontal="center" vertical="center" wrapText="1" mc:Ignorable="vyd"/>
    </s:xf>
    <s:xf numFmtId="0" fontId="50" fillId="29" borderId="65" xfId="14" applyFont="1" applyFill="1" applyBorder="1" applyAlignment="1">
      <s:alignment horizontal="center" vertical="center" wrapText="1" mc:Ignorable="vyd"/>
    </s:xf>
    <s:xf numFmtId="9" fontId="0" fillId="0" borderId="1" xfId="16" applyFont="1" applyBorder="1" applyAlignment="1">
      <s:alignment horizontal="center" vertical="center" mc:Ignorable="vyd"/>
    </s:xf>
    <s:xf numFmtId="9" fontId="0" fillId="21" borderId="22" xfId="16" applyFont="1" applyFill="1" applyBorder="1" applyAlignment="1">
      <s:alignment horizontal="center" vertical="center" wrapText="1" mc:Ignorable="vyd"/>
    </s:xf>
    <s:xf numFmtId="0" fontId="50" fillId="0" borderId="28" xfId="14" applyFont="1" applyBorder="1" applyAlignment="1">
      <s:alignment horizontal="center" vertical="center" mc:Ignorable="vyd"/>
    </s:xf>
    <s:xf numFmtId="0" fontId="50" fillId="0" borderId="29" xfId="14" applyFont="1" applyBorder="1" applyAlignment="1">
      <s:alignment horizontal="center" vertical="center" mc:Ignorable="vyd"/>
    </s:xf>
    <s:xf numFmtId="0" fontId="2" fillId="0" borderId="31" xfId="14" applyBorder="1" applyAlignment="1">
      <s:alignment horizontal="center" mc:Ignorable="vyd"/>
    </s:xf>
    <s:xf numFmtId="0" fontId="50" fillId="0" borderId="32" xfId="14" applyFont="1" applyBorder="1" applyAlignment="1">
      <s:alignment horizontal="center" vertical="center" mc:Ignorable="vyd"/>
    </s:xf>
    <s:xf numFmtId="0" fontId="50" fillId="0" borderId="28" xfId="17" applyFont="1" applyBorder="1" applyAlignment="1">
      <s:alignment horizontal="center" vertical="center" mc:Ignorable="vyd"/>
    </s:xf>
    <s:xf numFmtId="0" fontId="50" fillId="0" borderId="29" xfId="17" applyFont="1" applyBorder="1" applyAlignment="1">
      <s:alignment horizontal="center" vertical="center" mc:Ignorable="vyd"/>
    </s:xf>
    <s:xf numFmtId="0" fontId="53" fillId="0" borderId="36" xfId="17" applyFont="1" applyBorder="1" applyAlignment="1">
      <s:alignment horizontal="center" vertical="center" mc:Ignorable="vyd"/>
    </s:xf>
    <s:xf numFmtId="0" fontId="50" fillId="0" borderId="32" xfId="17" applyFont="1" applyBorder="1" applyAlignment="1">
      <s:alignment horizontal="center" vertical="center" mc:Ignorable="vyd"/>
    </s:xf>
    <s:xf numFmtId="176" fontId="39" fillId="17" borderId="38" xfId="12" applyNumberFormat="1" applyFont="1" applyFill="1" applyBorder="1" applyAlignment="1">
      <s:alignment horizontal="center" vertical="center" wrapText="1" mc:Ignorable="vyd"/>
    </s:xf>
    <s:xf numFmtId="176" fontId="39" fillId="17" borderId="7" xfId="12" applyNumberFormat="1" applyFont="1" applyFill="1" applyBorder="1" applyAlignment="1">
      <s:alignment horizontal="center" vertical="center" wrapText="1" mc:Ignorable="vyd"/>
    </s:xf>
    <s:xf numFmtId="164" fontId="21" fillId="2" borderId="2" xfId="0" applyFont="1" applyFill="1" applyBorder="1" applyAlignment="1">
      <s:alignment horizontal="center" vertical="center" mc:Ignorable="vyd"/>
    </s:xf>
    <s:xf numFmtId="164" fontId="21" fillId="2" borderId="34" xfId="0" applyFont="1" applyFill="1" applyBorder="1" applyAlignment="1">
      <s:alignment horizontal="center" vertical="center" mc:Ignorable="vyd"/>
    </s:xf>
    <s:xf numFmtId="164" fontId="21" fillId="2" borderId="1" xfId="0" applyFont="1" applyFill="1" applyBorder="1" applyAlignment="1">
      <s:alignment horizontal="center" vertical="center" wrapText="1" mc:Ignorable="vyd"/>
    </s:xf>
    <s:xf numFmtId="164" fontId="21" fillId="2" borderId="1" xfId="0" applyFont="1" applyFill="1" applyBorder="1" applyAlignment="1">
      <s:alignment horizontal="left" vertical="center" wrapText="1" mc:Ignorable="vyd"/>
    </s:xf>
    <s:xf numFmtId="164" fontId="26" fillId="2" borderId="21" xfId="0" applyFont="1" applyFill="1" applyBorder="1" applyAlignment="1">
      <s:alignment horizontal="left" vertical="center" indent="2" mc:Ignorable="vyd"/>
    </s:xf>
    <s:xf numFmtId="164" fontId="26" fillId="2" borderId="22" xfId="0" applyFont="1" applyFill="1" applyBorder="1" applyAlignment="1">
      <s:alignment horizontal="left" vertical="center" indent="2" mc:Ignorable="vyd"/>
    </s:xf>
  </s:cellXfs>
  <s:cellStyles count="18">
    <s:cellStyle xr:uid="{00000000-0005-0000-0000-000000000000}" name="Address" xfId="1"/>
    <s:cellStyle xr:uid="{00000000-0005-0000-0000-000001000000}" name="Comma 2" xfId="2"/>
    <s:cellStyle xr:uid="{00000000-0005-0000-0000-000002000000}" name="Head" xfId="3"/>
    <s:cellStyle xr:uid="{00000000-0005-0000-0000-000003000000}" name="Normal 2" xfId="4"/>
    <s:cellStyle xr:uid="{00000000-0005-0000-0000-000004000000}" name="Percent 2" xfId="5"/>
    <s:cellStyle xr:uid="{00000000-0005-0000-0000-000005000000}" name="Sub Head 1" xfId="6"/>
    <s:cellStyle name="Денежный" xfId="7" builtinId="4"/>
    <s:cellStyle name="Обычный" xfId="0" builtinId="0"/>
    <s:cellStyle xr:uid="{45BE84E5-C348-46C0-999B-928E733A43E1}" name="Обычный 2" xfId="14"/>
    <s:cellStyle xr:uid="{61099296-17D2-4581-A7BE-C56FE89A28DA}" name="Обычный 2 2" xfId="17"/>
    <s:cellStyle xr:uid="{0F3866C0-4480-41C1-880B-5B41A657C615}" name="Обычный 3" xfId="13"/>
    <s:cellStyle xr:uid="{443DD5EE-E70A-FC49-A857-2109190EEF63}" name="Обычный 4 5" xfId="12"/>
    <s:cellStyle xr:uid="{B254E0E4-D9EC-564D-B85D-1D04037EDD4A}" name="Обычный 7" xfId="10"/>
    <s:cellStyle name="Процентный" xfId="8" builtinId="5"/>
    <s:cellStyle xr:uid="{F691C1C6-AE8D-440E-92BB-88B152798E5C}" name="Процентный 2" xfId="16"/>
    <s:cellStyle name="Финансовый" xfId="9" builtinId="3"/>
    <s:cellStyle xr:uid="{751C0E8E-5776-4EC2-B1DA-2AD1C1BC3E3C}" name="Финансовый 2" xfId="15"/>
    <s:cellStyle xr:uid="{965DF112-D3B2-B944-B1DF-CD3A19A6EAAC}" name="Финансовый 5" xfId="11"/>
  </s:cellStyles>
  <s:dxfs count="25">
    <s:dxf>
      <s:font>
        <s:color indexed="2"/>
      </s:font>
    </s:dxf>
    <s:dxf>
      <s:font>
        <s:color indexed="2"/>
      </s:font>
    </s:dxf>
    <s:dxf>
      <s:font>
        <s:color indexed="2"/>
      </s:font>
    </s:dxf>
    <s:dxf>
      <s:font>
        <s:color indexed="2"/>
      </s:font>
    </s:dxf>
    <s:dxf>
      <s:font>
        <s:color indexed="2"/>
      </s:font>
    </s:dxf>
    <s:dxf>
      <s:font>
        <s:color indexed="2"/>
      </s:font>
    </s:dxf>
    <s:dxf>
      <s:font>
        <s:color indexed="2"/>
      </s:font>
    </s:dxf>
    <s:dxf>
      <s:font>
        <s:b val="1"/>
        <s:i val="0"/>
      </s:font>
      <s:fill>
        <s:patternFill patternType="solid">
          <s:fgColor theme="6" tint="0.6"/>
          <s:bgColor theme="6" tint="0.6"/>
        </s:patternFill>
      </s:fill>
    </s:dxf>
    <s:dxf>
      <s:font>
        <s:b val="1"/>
        <s:i val="0"/>
      </s:font>
      <s:fill>
        <s:patternFill patternType="lightGray">
          <s:fgColor theme="2" tint="-0.1"/>
          <s:bgColor theme="2" tint="-0.1"/>
        </s:patternFill>
      </s:fill>
    </s:dxf>
    <s:dxf>
      <s:font>
        <s:color indexed="2"/>
      </s:font>
    </s:dxf>
    <s:dxf>
      <s:font>
        <s:color indexed="2"/>
      </s:font>
    </s:dxf>
    <s:dxf>
      <s:font>
        <s:color indexed="2"/>
      </s:font>
    </s:dxf>
    <s:dxf>
      <s:font>
        <s:b val="1"/>
        <s:i val="0"/>
      </s:font>
      <s:fill>
        <s:patternFill patternType="solid">
          <s:fgColor theme="6" tint="0.6"/>
          <s:bgColor theme="6" tint="0.6"/>
        </s:patternFill>
      </s:fill>
    </s:dxf>
    <s:dxf>
      <s:font>
        <s:b val="1"/>
        <s:i val="0"/>
      </s:font>
      <s:fill>
        <s:patternFill patternType="lightGray">
          <s:fgColor theme="2" tint="-0.1"/>
          <s:bgColor theme="2" tint="-0.1"/>
        </s:patternFill>
      </s:fill>
    </s:dxf>
    <s:dxf>
      <s:font>
        <s:b val="1"/>
        <s:i val="0"/>
      </s:font>
      <s:fill>
        <s:patternFill patternType="solid">
          <s:fgColor theme="6" tint="0.6"/>
          <s:bgColor theme="6" tint="0.6"/>
        </s:patternFill>
      </s:fill>
    </s:dxf>
    <s:dxf>
      <s:font>
        <s:b val="1"/>
        <s:i val="0"/>
      </s:font>
      <s:fill>
        <s:patternFill patternType="lightGray">
          <s:fgColor theme="2" tint="-0.1"/>
          <s:bgColor theme="2" tint="-0.1"/>
        </s:patternFill>
      </s:fill>
    </s:dxf>
    <s:dxf>
      <s:font>
        <s:b val="1"/>
        <s:i val="0"/>
        <s:color indexed="2"/>
      </s:font>
    </s:dxf>
    <s:dxf>
      <s:font>
        <s:b val="1"/>
        <s:i val="0"/>
        <s:color indexed="2"/>
      </s:font>
    </s:dxf>
    <s:dxf>
      <s:font>
        <s:color indexed="2"/>
      </s:font>
    </s:dxf>
    <s:dxf>
      <s:font>
        <s:color indexed="2"/>
      </s:font>
    </s:dxf>
    <s:dxf>
      <s:font>
        <s:color indexed="2"/>
      </s:font>
    </s:dxf>
    <s:dxf>
      <s:font>
        <s:color indexed="2"/>
      </s:font>
    </s:dxf>
    <s:dxf>
      <s:font>
        <s:color indexed="2"/>
      </s:font>
    </s:dxf>
    <s:dxf>
      <s:font>
        <s:color indexed="2"/>
      </s:font>
    </s:dxf>
    <s:dxf>
      <s:font>
        <s:color indexed="2"/>
      </s:font>
    </s:dxf>
  </s:dxfs>
  <s:tableStyles count="0" defaultTableStyle="TableStyleMedium2" defaultPivotStyle="PivotStyleLight16"/>
  <s:colors>
    <s:mruColors>
      <s:color rgb="FFDDDDDD"/>
    </s:mruColors>
  </s:colors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18" Type="http://schemas.openxmlformats.org/officeDocument/2006/relationships/externalLink" Target="externalLinks/externalLink5.xml"/><Relationship Id="rId26" Type="http://schemas.openxmlformats.org/officeDocument/2006/relationships/customXml" Target="../customXml/item3.xml"/><Relationship Id="rId20" Type="http://schemas.openxmlformats.org/officeDocument/2006/relationships/styles" Target="styles.xml"/><Relationship Id="rId17" Type="http://schemas.openxmlformats.org/officeDocument/2006/relationships/externalLink" Target="externalLinks/externalLink4.xml"/><Relationship Id="rId25" Type="http://schemas.openxmlformats.org/officeDocument/2006/relationships/customXml" Target="../customXml/item2.xml"/><Relationship Id="rId16" Type="http://schemas.openxmlformats.org/officeDocument/2006/relationships/externalLink" Target="externalLinks/externalLink3.xml"/><Relationship Id="rId24" Type="http://schemas.openxmlformats.org/officeDocument/2006/relationships/customXml" Target="../customXml/item1.xml"/><Relationship Id="rId15" Type="http://schemas.openxmlformats.org/officeDocument/2006/relationships/externalLink" Target="externalLinks/externalLink2.xml"/><Relationship Id="rId1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.xml"/><Relationship Id="rId22" Type="http://schemas.openxmlformats.org/officeDocument/2006/relationships/sharedStrings" Target="sharedStrings.xml"/><Relationship Target="theme/theme1.xml" Type="http://schemas.openxmlformats.org/officeDocument/2006/relationships/theme" Id="rId21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/Relationships>
</file>

<file path=xl/externalLinks/_rels/externalLink1.xml.rels><?xml version="1.0" ?><Relationships xmlns="http://schemas.openxmlformats.org/package/2006/relationships"><Relationship Id="rId1" Type="http://schemas.openxmlformats.org/officeDocument/2006/relationships/externalLinkPath" Target="/Users/svyaz/My%20Drive/Datatech/&#1056;&#1043;&#1057;/&#1050;&#1055;_202405_&#1055;&#1088;&#1080;&#1083;&#1086;&#1078;&#1077;&#1085;&#1080;&#1077;_1_&#1089;&#1087;&#1077;&#1094;&#1080;&#1092;&#1080;&#1082;&#1072;&#1094;&#1080;&#1103;_&#1055;&#1054;_&#1087;&#1086;_&#1075;&#1086;&#1076;&#1072;&#1084;.xlsx" TargetMode="External"/></Relationships>
</file>

<file path=xl/externalLinks/_rels/externalLink2.xml.rels><?xml version="1.0" ?><Relationships xmlns="http://schemas.openxmlformats.org/package/2006/relationships"><Relationship Id="rId1" Type="http://schemas.openxmlformats.org/officeDocument/2006/relationships/externalLinkPath" Target="/Users/AVOsipov/Nextcloud/&#1055;&#1088;&#1086;&#1077;&#1082;&#1090;&#1099;/&#1043;&#1050;&#1048;%20CV/PnL%20&#1043;&#1050;&#1048;%20CV.xlsx" TargetMode="External"/></Relationships>
</file>

<file path=xl/externalLinks/_rels/externalLink3.xml.rels><?xml version="1.0" ?><Relationships xmlns="http://schemas.openxmlformats.org/package/2006/relationships"><Relationship Id="rId1" Type="http://schemas.openxmlformats.org/officeDocument/2006/relationships/externalLinkPath" Target="/Users/KSHumilov/Downloads/PL%20&#1054;&#1094;&#1077;&#1085;&#1082;&#1072;.2025%20&#1087;&#1086;%20&#1062;&#1060;&#1054;.xlsx" TargetMode="External"/></Relationships>
</file>

<file path=xl/externalLinks/_rels/externalLink4.xml.rels><?xml version="1.0" ?><Relationships xmlns="http://schemas.openxmlformats.org/package/2006/relationships"><Relationship Id="rId1" Type="http://schemas.openxmlformats.org/officeDocument/2006/relationships/externalLinkPath" Target="PnL,%20&#1086;&#1087;&#1088;&#1086;&#1089;&#1085;&#1080;&#1082;,%20&#1082;&#1072;&#1083;&#1100;&#1082;&#1091;&#1083;&#1103;&#1090;&#1086;&#1088;,%20&#1087;&#1083;&#1072;&#1085;.xlsx" TargetMode="External"/></Relationships>
</file>

<file path=xl/externalLinks/_rels/externalLink5.xml.rels><?xml version="1.0" ?><Relationships xmlns="http://schemas.openxmlformats.org/package/2006/relationships"><Relationship Id="rId1" Type="http://schemas.openxmlformats.org/officeDocument/2006/relationships/externalLinkPath" Target="/Users/svyaz/Downloads/&#1041;&#1099;&#1089;&#1090;&#1088;&#1099;&#1081;%20&#1082;&#1072;&#1083;&#1100;&#1082;&#1091;&#1083;&#1103;&#1090;&#1086;&#1088;%20&#1074;&#1085;&#1077;&#1076;&#1088;&#1077;&#1085;&#1080;&#1103;%20&#1061;&#1044;%20&#1044;&#1072;&#1090;&#1072;&#1090;&#1077;&#1093;%2020220701%20(2).xls" TargetMode="External"/></Relationships>
</file>

<file path=xl/externalLinks/_rels/externalLink6.xml.rels><?xml version="1.0" ?><Relationships xmlns="http://schemas.openxmlformats.org/package/2006/relationships"><Relationship Id="rId1" Type="http://schemas.openxmlformats.org/officeDocument/2006/relationships/externalLinkPath" Target="https://d.docs.live.net/Users/svyaz/Downloads/&#1041;&#1099;&#1089;&#1090;&#1088;&#1099;&#1081;%20&#1082;&#1072;&#1083;&#1100;&#1082;&#1091;&#1083;&#1103;&#1090;&#1086;&#1088;%20&#1074;&#1085;&#1077;&#1076;&#1088;&#1077;&#1085;&#1080;&#1103;%20&#1061;&#1044;%20&#1044;&#1072;&#1090;&#1072;&#1090;&#1077;&#1093;%2020220701%20(2).xls" TargetMode="External"/></Relationships>
</file>

<file path=xl/externalLinks/externalLink1.xml><?xml version="1.0" encoding="utf-8"?>
<s:externalLink xmlns: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 mc:Ignorable="x14">
  <s:externalBook r:id="rId1">
    <s:sheetNames>
      <s:sheetName val="ADB TL"/>
      <s:sheetName val="ADC TL"/>
      <s:sheetName val="График платежей"/>
      <s:sheetName val="Свод по лицензиям"/>
      <s:sheetName val="OTHER"/>
      <s:sheetName val="GPL2"/>
    </s:sheetNames>
    <s:sheetDataSet>
      <s:sheetData sheetId="0">
        <s:row r="4">
          <s:cell r="A4" t="str">
            <s:v>ADB (Arenadata Analitical DB)</s:v>
          </s:cell>
        </s:row>
      </s:sheetData>
      <s:sheetData sheetId="1">
        <s:row r="4">
          <s:cell r="A4" t="str">
            <s:v>Arenadata Catalog (AD.C)</s:v>
          </s:cell>
        </s:row>
      </s:sheetData>
      <s:sheetData sheetId="2"/>
      <s:sheetData sheetId="3"/>
      <s:sheetData sheetId="4">
        <s:row r="1">
          <s:cell r="A1" t="str">
            <s:v>Temporary license</s:v>
          </s:cell>
          <s:cell r="B1" t="str">
            <s:v>TL</s:v>
          </s:cell>
          <s:cell r="E1" t="str">
            <s:v>Production</s:v>
          </s:cell>
          <s:cell r="F1" t="str">
            <s:v>PROD</s:v>
          </s:cell>
        </s:row>
        <s:row r="2">
          <s:cell r="A2" t="str">
            <s:v xml:space="preserve">Temporary license </s:v>
          </s:cell>
          <s:cell r="B2" t="str">
            <s:v>TL</s:v>
          </s:cell>
          <s:cell r="E2" t="str">
            <s:v>Production DR</s:v>
          </s:cell>
          <s:cell r="F2" t="str">
            <s:v>DR</s:v>
          </s:cell>
        </s:row>
        <s:row r="3">
          <s:cell r="A3" t="str">
            <s:v>Support Temporary license 24x7</s:v>
          </s:cell>
          <s:cell r="B3" t="str">
            <s:v>Supp, 24x7</s:v>
          </s:cell>
          <s:cell r="E3" t="str">
            <s:v>Dev/Test</s:v>
          </s:cell>
          <s:cell r="F3" t="str">
            <s:v>Dev/Test</s:v>
          </s:cell>
        </s:row>
        <s:row r="4">
          <s:cell r="A4" t="str">
            <s:v>Support Temporary license 8x5</s:v>
          </s:cell>
          <s:cell r="B4" t="str">
            <s:v>Supp, 8x5</s:v>
          </s:cell>
        </s:row>
        <s:row r="5">
          <s:cell r="A5" t="str">
            <s:v xml:space="preserve">Perpetual license </s:v>
          </s:cell>
          <s:cell r="B5" t="str">
            <s:v>PL</s:v>
          </s:cell>
        </s:row>
        <s:row r="6">
          <s:cell r="A6" t="str">
            <s:v>Support Perpetual license 24x7</s:v>
          </s:cell>
          <s:cell r="B6" t="str">
            <s:v>Supp, 24x7</s:v>
          </s:cell>
        </s:row>
        <s:row r="7">
          <s:cell r="A7" t="str">
            <s:v>Support Perpetual license 8x5</s:v>
          </s:cell>
          <s:cell r="B7" t="str">
            <s:v>Supp, 8x5</s:v>
          </s:cell>
        </s:row>
      </s:sheetData>
      <s:sheetData sheetId="5"/>
    </s:sheetDataSet>
  </s:externalBook>
</s:externalLink>
</file>

<file path=xl/externalLinks/externalLink2.xml><?xml version="1.0" encoding="utf-8"?>
<s:externalLink xmlns: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 mc:Ignorable="x14">
  <s:externalBook r:id="rId1">
    <s:sheetNames>
      <s:sheetName val="Ставки и расходы"/>
      <s:sheetName val="Калькулятор бюджета"/>
      <s:sheetName val="План"/>
      <s:sheetName val="Планирование ресурсов"/>
      <s:sheetName val="ОПУ"/>
      <s:sheetName val="Проектные ограничения"/>
      <s:sheetName val="Classifications"/>
    </s:sheetNames>
    <s:sheetDataSet>
      <s:sheetData sheetId="0">
        <s:row r="11">
          <s:cell r="C11" t="str">
            <s:v>5. Grade Moscow/SPb</s:v>
          </s:cell>
        </s:row>
        <s:row r="12">
          <s:cell r="C12" t="str">
            <s:v>4. Grade Moscow/SPb</s:v>
          </s:cell>
        </s:row>
        <s:row r="13">
          <s:cell r="C13" t="str">
            <s:v>3. Grade Moscow/SPb</s:v>
          </s:cell>
        </s:row>
        <s:row r="14">
          <s:cell r="C14" t="str">
            <s:v>2. Grade Moscow/SPb</s:v>
          </s:cell>
        </s:row>
        <s:row r="15">
          <s:cell r="C15" t="str">
            <s:v>1. Grade Moscow/SPb</s:v>
          </s:cell>
        </s:row>
        <s:row r="16">
          <s:cell r="C16" t="str">
            <s:v>5. Grade Regions</s:v>
          </s:cell>
        </s:row>
        <s:row r="17">
          <s:cell r="C17" t="str">
            <s:v>4. Grade Regions</s:v>
          </s:cell>
        </s:row>
        <s:row r="18">
          <s:cell r="C18" t="str">
            <s:v>3. Grade Regions</s:v>
          </s:cell>
        </s:row>
        <s:row r="19">
          <s:cell r="C19" t="str">
            <s:v>2. Grade Regions</s:v>
          </s:cell>
        </s:row>
        <s:row r="20">
          <s:cell r="C20" t="str">
            <s:v xml:space="preserve">1. Grade Regions </s:v>
          </s:cell>
        </s:row>
        <s:row r="25">
          <s:cell r="C25" t="str">
            <s:v>ФИО</s:v>
          </s:cell>
        </s:row>
        <s:row r="26">
          <s:cell r="C26" t="str">
            <s:v>Аналитик данных</s:v>
          </s:cell>
        </s:row>
        <s:row r="27">
          <s:cell r="C27" t="str">
            <s:v>Интегр_Разработчик DE</s:v>
          </s:cell>
        </s:row>
        <s:row r="28">
          <s:cell r="C28" t="str">
            <s:v>Интегр_Разработчик BE</s:v>
          </s:cell>
        </s:row>
        <s:row r="29">
          <s:cell r="C29" t="str">
            <s:v>Интегр_Разработчик FE</s:v>
          </s:cell>
        </s:row>
        <s:row r="30">
          <s:cell r="C30" t="str">
            <s:v>Интегр_Системный аналитик</s:v>
          </s:cell>
        </s:row>
        <s:row r="31">
          <s:cell r="C31" t="str">
            <s:v>Интегр_Лид разработки</s:v>
          </s:cell>
        </s:row>
        <s:row r="32">
          <s:cell r="C32" t="str">
            <s:v>РП</s:v>
          </s:cell>
        </s:row>
        <s:row r="46">
          <s:cell r="C46" t="str">
            <s:v xml:space="preserve">Компания/ФИО/Роль
</s:v>
          </s:cell>
        </s:row>
        <s:row r="53">
          <s:cell r="C53" t="str">
            <s:v>Компания/ФИО/Роль</s:v>
          </s:cell>
        </s:row>
      </s:sheetData>
      <s:sheetData sheetId="1">
        <s:row r="40">
          <s:cell r="E40" t="str">
            <s:v>ч/д</s:v>
          </s:cell>
          <s:cell r="G40" t="str">
            <s:v>ч/д</s:v>
          </s:cell>
          <s:cell r="H40" t="str">
            <s:v>ч/д</s:v>
          </s:cell>
          <s:cell r="J40" t="str">
            <s:v>руб.</s:v>
          </s:cell>
          <s:cell r="M40" t="str">
            <s:v>руб.</s:v>
          </s:cell>
        </s:row>
        <s:row r="41">
          <s:cell r="B41" t="str">
            <s:v>Э1. CV</s:v>
          </s:cell>
        </s:row>
        <s:row r="42">
          <s:cell r="B42" t="str">
            <s:v>Э2. CV</s:v>
          </s:cell>
        </s:row>
        <s:row r="43">
          <s:cell r="B43" t="str">
            <s:v>Э3. CV</s:v>
          </s:cell>
        </s:row>
        <s:row r="44">
          <s:cell r="B44" t="str">
            <s:v>Э4. CV</s:v>
          </s:cell>
        </s:row>
        <s:row r="45">
          <s:cell r="B45" t="str">
            <s:v>Э5. CV</s:v>
          </s:cell>
        </s:row>
        <s:row r="46">
          <s:cell r="B46" t="str">
            <s:v>Риск. CV</s:v>
          </s:cell>
        </s:row>
        <s:row r="47">
          <s:cell r="B47" t="str">
            <s:v>ГарПод. CV</s:v>
          </s:cell>
        </s:row>
        <s:row r="48">
          <s:cell r="B48" t="str">
            <s:v>Э1. Итегр</s:v>
          </s:cell>
        </s:row>
        <s:row r="49">
          <s:cell r="B49" t="str">
            <s:v>Э1. Итегр</s:v>
          </s:cell>
        </s:row>
        <s:row r="50">
          <s:cell r="B50" t="str">
            <s:v>Э1. Итегр</s:v>
          </s:cell>
        </s:row>
        <s:row r="51">
          <s:cell r="B51" t="str">
            <s:v>Э1. Итегр</s:v>
          </s:cell>
        </s:row>
        <s:row r="52">
          <s:cell r="B52" t="str">
            <s:v>Э1. Итегр</s:v>
          </s:cell>
        </s:row>
        <s:row r="53">
          <s:cell r="B53" t="str">
            <s:v>Э2. Итегр</s:v>
          </s:cell>
        </s:row>
        <s:row r="54">
          <s:cell r="B54" t="str">
            <s:v>Э2. Итегр</s:v>
          </s:cell>
        </s:row>
        <s:row r="55">
          <s:cell r="B55" t="str">
            <s:v>Э2. Итегр</s:v>
          </s:cell>
        </s:row>
        <s:row r="56">
          <s:cell r="B56" t="str">
            <s:v>Э2. Итегр</s:v>
          </s:cell>
        </s:row>
        <s:row r="57">
          <s:cell r="B57" t="str">
            <s:v>Э2. Итегр</s:v>
          </s:cell>
        </s:row>
        <s:row r="58">
          <s:cell r="B58" t="str">
            <s:v>Э3. Итегр</s:v>
          </s:cell>
        </s:row>
        <s:row r="59">
          <s:cell r="B59" t="str">
            <s:v>Э3. Итегр</s:v>
          </s:cell>
        </s:row>
        <s:row r="60">
          <s:cell r="B60" t="str">
            <s:v>Э3. Итегр</s:v>
          </s:cell>
        </s:row>
        <s:row r="61">
          <s:cell r="B61" t="str">
            <s:v>Э3. Итегр</s:v>
          </s:cell>
        </s:row>
        <s:row r="62">
          <s:cell r="B62" t="str">
            <s:v>Э3. Итегр</s:v>
          </s:cell>
        </s:row>
        <s:row r="63">
          <s:cell r="B63" t="str">
            <s:v>Риск. Итегр</s:v>
          </s:cell>
        </s:row>
        <s:row r="64">
          <s:cell r="B64" t="str">
            <s:v>Риск. Итегр</s:v>
          </s:cell>
        </s:row>
        <s:row r="65">
          <s:cell r="B65" t="str">
            <s:v>Риск. Итегр</s:v>
          </s:cell>
        </s:row>
        <s:row r="66">
          <s:cell r="B66" t="str">
            <s:v>Риск. Итегр</s:v>
          </s:cell>
        </s:row>
        <s:row r="67">
          <s:cell r="B67" t="str">
            <s:v>Риск. Итегр</s:v>
          </s:cell>
        </s:row>
        <s:row r="68">
          <s:cell r="B68" t="str">
            <s:v>ГП. Итегр</s:v>
          </s:cell>
        </s:row>
        <s:row r="69">
          <s:cell r="B69" t="str">
            <s:v>ГП. Итегр</s:v>
          </s:cell>
        </s:row>
        <s:row r="70">
          <s:cell r="B70" t="str">
            <s:v>ГП. Итегр</s:v>
          </s:cell>
        </s:row>
        <s:row r="71">
          <s:cell r="B71" t="str">
            <s:v>ГП. Итегр</s:v>
          </s:cell>
        </s:row>
        <s:row r="72">
          <s:cell r="B72" t="str">
            <s:v>ГП. Итегр</s:v>
          </s:cell>
        </s:row>
        <s:row r="73">
          <s:cell r="B73" t="str">
            <s:v>Адм.</s:v>
          </s:cell>
        </s:row>
        <s:row r="78">
          <s:cell r="B78" t="str">
            <s:v>Итого:</s:v>
          </s:cell>
        </s:row>
        <s:row r="82">
          <s:cell r="H82" t="str">
            <s:v>ч/д</s:v>
          </s:cell>
          <s:cell r="J82" t="str">
            <s:v>руб.</s:v>
          </s:cell>
          <s:cell r="S82" t="str">
            <s:v>руб.</s:v>
          </s:cell>
        </s:row>
        <s:row r="92">
          <s:cell r="B92" t="str">
            <s:v>Итого:</s:v>
          </s:cell>
        </s:row>
        <s:row r="96">
          <s:cell r="H96" t="str">
            <s:v>ч/д</s:v>
          </s:cell>
          <s:cell r="J96" t="str">
            <s:v>руб.</s:v>
          </s:cell>
          <s:cell r="S96" t="str">
            <s:v>руб.</s:v>
          </s:cell>
        </s:row>
        <s:row r="106">
          <s:cell r="B106" t="str">
            <s:v>Итого:</s:v>
          </s:cell>
        </s:row>
        <s:row r="110">
          <s:cell r="G110" t="str">
            <s:v>руб.</s:v>
          </s:cell>
          <s:cell r="I110" t="str">
            <s:v>руб.</s:v>
          </s:cell>
        </s:row>
        <s:row r="111">
          <s:cell r="B111" t="str">
            <s:v>Лицензия САЙБОКС</s:v>
          </s:cell>
        </s:row>
        <s:row r="115">
          <s:cell r="B115" t="str">
            <s:v>Итого:</s:v>
          </s:cell>
        </s:row>
        <s:row r="119">
          <s:cell r="G119" t="str">
            <s:v>руб.</s:v>
          </s:cell>
          <s:cell r="I119" t="str">
            <s:v>руб.</s:v>
          </s:cell>
        </s:row>
        <s:row r="123">
          <s:cell r="B123" t="str">
            <s:v>Итого:</s:v>
          </s:cell>
        </s:row>
        <s:row r="127">
          <s:cell r="G127" t="str">
            <s:v>руб.</s:v>
          </s:cell>
          <s:cell r="I127" t="str">
            <s:v>руб.</s:v>
          </s:cell>
        </s:row>
        <s:row r="132">
          <s:cell r="B132" t="str">
            <s:v>Итого:</s:v>
          </s:cell>
        </s:row>
        <s:row r="136">
          <s:cell r="F136" t="str">
            <s:v>руб.</s:v>
          </s:cell>
          <s:cell r="H136" t="str">
            <s:v>руб.</s:v>
          </s:cell>
        </s:row>
        <s:row r="143">
          <s:cell r="B143" t="str">
            <s:v>Итого:</s:v>
          </s:cell>
        </s:row>
        <s:row r="147">
          <s:cell r="F147" t="str">
            <s:v>руб.</s:v>
          </s:cell>
          <s:cell r="H147" t="str">
            <s:v>руб.</s:v>
          </s:cell>
        </s:row>
        <s:row r="154">
          <s:cell r="B154" t="str">
            <s:v>Итого:</s:v>
          </s:cell>
        </s:row>
        <s:row r="158">
          <s:cell r="F158" t="str">
            <s:v>руб.</s:v>
          </s:cell>
          <s:cell r="H158" t="str">
            <s:v>руб.</s:v>
          </s:cell>
        </s:row>
        <s:row r="165">
          <s:cell r="B165" t="str">
            <s:v>Итого:</s:v>
          </s:cell>
        </s:row>
      </s:sheetData>
      <s:sheetData sheetId="2"/>
      <s:sheetData sheetId="3"/>
      <s:sheetData sheetId="4"/>
      <s:sheetData sheetId="5"/>
      <s:sheetData sheetId="6"/>
    </s:sheetDataSet>
  </s:externalBook>
</s:externalLink>
</file>

<file path=xl/externalLinks/externalLink3.xml><?xml version="1.0" encoding="utf-8"?>
<s:externalLink xmlns: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 mc:Ignorable="x14">
  <s:externalBook r:id="rId1">
    <s:sheetNames>
      <s:sheetName val="Ставки и расходы"/>
      <s:sheetName val="Калькулятор бюджета по этапам"/>
      <s:sheetName val="Калькулятор бюджета по ЦФО"/>
      <s:sheetName val="Планирование ресурсов"/>
      <s:sheetName val="ОПУ"/>
      <s:sheetName val="Проектные ограничения"/>
      <s:sheetName val="Classifications"/>
    </s:sheetNames>
    <s:sheetDataSet>
      <s:sheetData sheetId="0">
        <s:row r="11">
          <s:cell r="C11" t="str">
            <s:v>6. Sales Grade</s:v>
          </s:cell>
        </s:row>
        <s:row r="12">
          <s:cell r="C12" t="str">
            <s:v>5. Sales Grade</s:v>
          </s:cell>
        </s:row>
        <s:row r="13">
          <s:cell r="C13" t="str">
            <s:v>4. Sales Grade</s:v>
          </s:cell>
        </s:row>
        <s:row r="14">
          <s:cell r="C14" t="str">
            <s:v>3. Sales Grade</s:v>
          </s:cell>
        </s:row>
        <s:row r="15">
          <s:cell r="C15" t="str">
            <s:v>2. Sales Grade</s:v>
          </s:cell>
        </s:row>
        <s:row r="16">
          <s:cell r="C16" t="str">
            <s:v>1. Sales Grade</s:v>
          </s:cell>
        </s:row>
        <s:row r="21">
          <s:cell r="C21" t="str">
            <s:v>ФИО</s:v>
          </s:cell>
        </s:row>
        <s:row r="36">
          <s:cell r="C36" t="str">
            <s:v xml:space="preserve">Компания/ФИО/Роль
</s:v>
          </s:cell>
        </s:row>
        <s:row r="43">
          <s:cell r="C43" t="str">
            <s:v>Компания/ФИО/Роль</s:v>
          </s:cell>
        </s:row>
      </s:sheetData>
      <s:sheetData sheetId="1">
        <s:row r="40">
          <s:cell r="F40" t="str">
            <s:v>ч/д</s:v>
          </s:cell>
          <s:cell r="H40" t="str">
            <s:v>ч/д</s:v>
          </s:cell>
          <s:cell r="I40" t="str">
            <s:v>ч/д</s:v>
          </s:cell>
          <s:cell r="K40" t="str">
            <s:v>руб.</s:v>
          </s:cell>
          <s:cell r="N40" t="str">
            <s:v>руб.</s:v>
          </s:cell>
        </s:row>
        <s:row r="41">
          <s:cell r="B41" t="str">
            <s:v>Э1</s:v>
          </s:cell>
        </s:row>
        <s:row r="42">
          <s:cell r="B42" t="str">
            <s:v>Э1</s:v>
          </s:cell>
        </s:row>
        <s:row r="43">
          <s:cell r="B43" t="str">
            <s:v>Э1</s:v>
          </s:cell>
        </s:row>
        <s:row r="44">
          <s:cell r="B44" t="str">
            <s:v>Э1</s:v>
          </s:cell>
        </s:row>
        <s:row r="45">
          <s:cell r="B45" t="str">
            <s:v>Э1</s:v>
          </s:cell>
        </s:row>
        <s:row r="46">
          <s:cell r="B46" t="str">
            <s:v>Э2</s:v>
          </s:cell>
        </s:row>
        <s:row r="47">
          <s:cell r="B47" t="str">
            <s:v>Э2</s:v>
          </s:cell>
        </s:row>
        <s:row r="48">
          <s:cell r="B48" t="str">
            <s:v>Э2</s:v>
          </s:cell>
        </s:row>
        <s:row r="49">
          <s:cell r="B49" t="str">
            <s:v>Э2</s:v>
          </s:cell>
        </s:row>
        <s:row r="50">
          <s:cell r="B50" t="str">
            <s:v>Э2</s:v>
          </s:cell>
        </s:row>
        <s:row r="51">
          <s:cell r="B51" t="str">
            <s:v>Э2</s:v>
          </s:cell>
        </s:row>
        <s:row r="52">
          <s:cell r="B52" t="str">
            <s:v>Э2</s:v>
          </s:cell>
        </s:row>
        <s:row r="53">
          <s:cell r="B53" t="str">
            <s:v>Э2</s:v>
          </s:cell>
        </s:row>
        <s:row r="54">
          <s:cell r="B54" t="str">
            <s:v>Э2</s:v>
          </s:cell>
        </s:row>
        <s:row r="55">
          <s:cell r="B55" t="str">
            <s:v>Э2</s:v>
          </s:cell>
        </s:row>
        <s:row r="56">
          <s:cell r="B56" t="str">
            <s:v>Э2</s:v>
          </s:cell>
        </s:row>
        <s:row r="57">
          <s:cell r="B57" t="str">
            <s:v>Э2</s:v>
          </s:cell>
        </s:row>
        <s:row r="58">
          <s:cell r="B58" t="str">
            <s:v>Э2</s:v>
          </s:cell>
        </s:row>
        <s:row r="59">
          <s:cell r="B59" t="str">
            <s:v>Э2</s:v>
          </s:cell>
        </s:row>
        <s:row r="60">
          <s:cell r="B60" t="str">
            <s:v>Э2</s:v>
          </s:cell>
        </s:row>
        <s:row r="61">
          <s:cell r="B61" t="str">
            <s:v>Э2</s:v>
          </s:cell>
        </s:row>
        <s:row r="62">
          <s:cell r="B62" t="str">
            <s:v>Э2</s:v>
          </s:cell>
        </s:row>
        <s:row r="63">
          <s:cell r="B63" t="str">
            <s:v>Э2</s:v>
          </s:cell>
        </s:row>
        <s:row r="64">
          <s:cell r="B64" t="str">
            <s:v>Э2</s:v>
          </s:cell>
        </s:row>
        <s:row r="65">
          <s:cell r="B65" t="str">
            <s:v>Э2</s:v>
          </s:cell>
        </s:row>
        <s:row r="66">
          <s:cell r="B66" t="str">
            <s:v>Э2</s:v>
          </s:cell>
        </s:row>
        <s:row r="67">
          <s:cell r="B67" t="str">
            <s:v>Э2</s:v>
          </s:cell>
        </s:row>
        <s:row r="68">
          <s:cell r="B68" t="str">
            <s:v>Э2</s:v>
          </s:cell>
        </s:row>
        <s:row r="69">
          <s:cell r="B69" t="str">
            <s:v>Э2</s:v>
          </s:cell>
        </s:row>
        <s:row r="70">
          <s:cell r="B70" t="str">
            <s:v>Э2</s:v>
          </s:cell>
        </s:row>
        <s:row r="71">
          <s:cell r="B71" t="str">
            <s:v>Итого:</s:v>
          </s:cell>
        </s:row>
        <s:row r="75">
          <s:cell r="I75" t="str">
            <s:v>ч/д</s:v>
          </s:cell>
          <s:cell r="K75" t="str">
            <s:v>руб.</s:v>
          </s:cell>
          <s:cell r="N75" t="str">
            <s:v>руб.</s:v>
          </s:cell>
        </s:row>
        <s:row r="76">
          <s:cell r="B76" t="str">
            <s:v>Э1</s:v>
          </s:cell>
        </s:row>
        <s:row r="77">
          <s:cell r="B77" t="str">
            <s:v>Э1</s:v>
          </s:cell>
        </s:row>
        <s:row r="78">
          <s:cell r="B78" t="str">
            <s:v>Э1</s:v>
          </s:cell>
        </s:row>
        <s:row r="79">
          <s:cell r="B79" t="str">
            <s:v>Э1</s:v>
          </s:cell>
        </s:row>
        <s:row r="80">
          <s:cell r="B80" t="str">
            <s:v>Э1</s:v>
          </s:cell>
        </s:row>
        <s:row r="81">
          <s:cell r="B81" t="str">
            <s:v>Э2</s:v>
          </s:cell>
        </s:row>
        <s:row r="82">
          <s:cell r="B82" t="str">
            <s:v>Э2</s:v>
          </s:cell>
        </s:row>
        <s:row r="83">
          <s:cell r="B83" t="str">
            <s:v>Э2</s:v>
          </s:cell>
        </s:row>
        <s:row r="84">
          <s:cell r="B84" t="str">
            <s:v>Э2</s:v>
          </s:cell>
        </s:row>
        <s:row r="85">
          <s:cell r="B85" t="str">
            <s:v>Э2</s:v>
          </s:cell>
        </s:row>
        <s:row r="86">
          <s:cell r="B86" t="str">
            <s:v>Итого:</s:v>
          </s:cell>
        </s:row>
        <s:row r="90">
          <s:cell r="I90" t="str">
            <s:v>ч/д</s:v>
          </s:cell>
          <s:cell r="K90" t="str">
            <s:v>руб.</s:v>
          </s:cell>
          <s:cell r="N90" t="str">
            <s:v>руб.</s:v>
          </s:cell>
        </s:row>
        <s:row r="91">
          <s:cell r="B91" t="str">
            <s:v>Э1</s:v>
          </s:cell>
        </s:row>
        <s:row r="101">
          <s:cell r="B101" t="str">
            <s:v>Итого:</s:v>
          </s:cell>
        </s:row>
        <s:row r="105">
          <s:cell r="H105" t="str">
            <s:v>руб.</s:v>
          </s:cell>
          <s:cell r="J105" t="str">
            <s:v>руб.</s:v>
          </s:cell>
        </s:row>
        <s:row r="111">
          <s:cell r="B111" t="str">
            <s:v>Итого:</s:v>
          </s:cell>
        </s:row>
        <s:row r="115">
          <s:cell r="H115" t="str">
            <s:v>руб.</s:v>
          </s:cell>
          <s:cell r="J115" t="str">
            <s:v>руб.</s:v>
          </s:cell>
        </s:row>
        <s:row r="120">
          <s:cell r="B120" t="str">
            <s:v>Итого:</s:v>
          </s:cell>
        </s:row>
        <s:row r="124">
          <s:cell r="H124" t="str">
            <s:v>руб.</s:v>
          </s:cell>
          <s:cell r="J124" t="str">
            <s:v>руб.</s:v>
          </s:cell>
        </s:row>
        <s:row r="130">
          <s:cell r="B130" t="str">
            <s:v>Итого:</s:v>
          </s:cell>
        </s:row>
        <s:row r="134">
          <s:cell r="G134" t="str">
            <s:v>руб.</s:v>
          </s:cell>
          <s:cell r="I134" t="str">
            <s:v>руб.</s:v>
          </s:cell>
        </s:row>
        <s:row r="142">
          <s:cell r="B142" t="str">
            <s:v>Итого:</s:v>
          </s:cell>
        </s:row>
        <s:row r="146">
          <s:cell r="G146" t="str">
            <s:v>руб.</s:v>
          </s:cell>
          <s:cell r="I146" t="str">
            <s:v>руб.</s:v>
          </s:cell>
        </s:row>
        <s:row r="154">
          <s:cell r="B154" t="str">
            <s:v>Итого:</s:v>
          </s:cell>
        </s:row>
        <s:row r="158">
          <s:cell r="G158" t="str">
            <s:v>руб.</s:v>
          </s:cell>
          <s:cell r="I158" t="str">
            <s:v>руб.</s:v>
          </s:cell>
        </s:row>
        <s:row r="166">
          <s:cell r="B166" t="str">
            <s:v>Итого:</s:v>
          </s:cell>
        </s:row>
      </s:sheetData>
      <s:sheetData sheetId="2" refreshError="1"/>
      <s:sheetData sheetId="3" refreshError="1"/>
      <s:sheetData sheetId="4" refreshError="1"/>
      <s:sheetData sheetId="5" refreshError="1"/>
      <s:sheetData sheetId="6" refreshError="1"/>
    </s:sheetDataSet>
  </s:externalBook>
</s:externalLink>
</file>

<file path=xl/externalLinks/externalLink4.xml><?xml version="1.0" encoding="utf-8"?>
<s:externalLink xmlns: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 mc:Ignorable="x14">
  <s:externalBook r:id="rId1">
    <s:sheetNames>
      <s:sheetName val="Ставки и расходы"/>
      <s:sheetName val="Калькулятор бюджета"/>
      <s:sheetName val="Планирование ресурсов"/>
      <s:sheetName val="ОПУ"/>
      <s:sheetName val="Опросник"/>
      <s:sheetName val="Калькулятор"/>
      <s:sheetName val="План"/>
      <s:sheetName val="Проектные ограничения"/>
      <s:sheetName val="Classifications"/>
    </s:sheetNames>
    <s:sheetDataSet>
      <s:sheetData sheetId="0">
        <s:row r="11">
          <s:cell r="C11" t="str">
            <s:v>5. Grade Moscow/SPb</s:v>
          </s:cell>
        </s:row>
        <s:row r="12">
          <s:cell r="C12" t="str">
            <s:v>4. Grade Moscow/SPb</s:v>
          </s:cell>
        </s:row>
        <s:row r="13">
          <s:cell r="C13" t="str">
            <s:v>3. Grade Moscow/SPb</s:v>
          </s:cell>
        </s:row>
        <s:row r="14">
          <s:cell r="C14" t="str">
            <s:v>2. Grade Moscow/SPb</s:v>
          </s:cell>
        </s:row>
        <s:row r="15">
          <s:cell r="C15" t="str">
            <s:v>1. Grade Moscow/SPb</s:v>
          </s:cell>
        </s:row>
        <s:row r="16">
          <s:cell r="C16" t="str">
            <s:v>5. Grade Regions</s:v>
          </s:cell>
        </s:row>
        <s:row r="17">
          <s:cell r="C17" t="str">
            <s:v>4. Grade Regions</s:v>
          </s:cell>
        </s:row>
        <s:row r="18">
          <s:cell r="C18" t="str">
            <s:v>3. Grade Regions</s:v>
          </s:cell>
        </s:row>
        <s:row r="19">
          <s:cell r="C19" t="str">
            <s:v>2. Grade Regions</s:v>
          </s:cell>
        </s:row>
        <s:row r="20">
          <s:cell r="C20" t="str">
            <s:v xml:space="preserve">1. Grade Regions </s:v>
          </s:cell>
        </s:row>
        <s:row r="25">
          <s:cell r="C25" t="str">
            <s:v>ФИО</s:v>
          </s:cell>
        </s:row>
        <s:row r="46">
          <s:cell r="C46" t="str">
            <s:v xml:space="preserve">Компания/ФИО/Роль
</s:v>
          </s:cell>
        </s:row>
        <s:row r="53">
          <s:cell r="C53" t="str">
            <s:v>Компания/ФИО/Роль</s:v>
          </s:cell>
        </s:row>
      </s:sheetData>
      <s:sheetData sheetId="1">
        <s:row r="40">
          <s:cell r="E40" t="str">
            <s:v>ч/д</s:v>
          </s:cell>
          <s:cell r="G40" t="str">
            <s:v>ч/д</s:v>
          </s:cell>
          <s:cell r="H40" t="str">
            <s:v>ч/д</s:v>
          </s:cell>
          <s:cell r="J40" t="str">
            <s:v>руб.</s:v>
          </s:cell>
          <s:cell r="M40" t="str">
            <s:v>руб.</s:v>
          </s:cell>
        </s:row>
        <s:row r="68">
          <s:cell r="B68" t="str">
            <s:v>Итого:</s:v>
          </s:cell>
        </s:row>
        <s:row r="72">
          <s:cell r="H72" t="str">
            <s:v>ч/д</s:v>
          </s:cell>
          <s:cell r="J72" t="str">
            <s:v>руб.</s:v>
          </s:cell>
          <s:cell r="M72" t="str">
            <s:v>руб.</s:v>
          </s:cell>
        </s:row>
        <s:row r="82">
          <s:cell r="B82" t="str">
            <s:v>Итого:</s:v>
          </s:cell>
        </s:row>
        <s:row r="86">
          <s:cell r="H86" t="str">
            <s:v>ч/д</s:v>
          </s:cell>
          <s:cell r="J86" t="str">
            <s:v>руб.</s:v>
          </s:cell>
          <s:cell r="M86" t="str">
            <s:v>руб.</s:v>
          </s:cell>
        </s:row>
        <s:row r="96">
          <s:cell r="B96" t="str">
            <s:v>Итого:</s:v>
          </s:cell>
        </s:row>
        <s:row r="100">
          <s:cell r="G100" t="str">
            <s:v>руб.</s:v>
          </s:cell>
          <s:cell r="I100" t="str">
            <s:v>руб.</s:v>
          </s:cell>
        </s:row>
        <s:row r="105">
          <s:cell r="B105" t="str">
            <s:v>Итого:</s:v>
          </s:cell>
        </s:row>
        <s:row r="109">
          <s:cell r="G109" t="str">
            <s:v>руб.</s:v>
          </s:cell>
          <s:cell r="I109" t="str">
            <s:v>руб.</s:v>
          </s:cell>
        </s:row>
        <s:row r="113">
          <s:cell r="B113" t="str">
            <s:v>Итого:</s:v>
          </s:cell>
        </s:row>
        <s:row r="117">
          <s:cell r="G117" t="str">
            <s:v>руб.</s:v>
          </s:cell>
          <s:cell r="I117" t="str">
            <s:v>руб.</s:v>
          </s:cell>
        </s:row>
        <s:row r="122">
          <s:cell r="B122" t="str">
            <s:v>Итого:</s:v>
          </s:cell>
        </s:row>
        <s:row r="126">
          <s:cell r="F126" t="str">
            <s:v>руб.</s:v>
          </s:cell>
          <s:cell r="H126" t="str">
            <s:v>руб.</s:v>
          </s:cell>
        </s:row>
        <s:row r="133">
          <s:cell r="B133" t="str">
            <s:v>Итого:</s:v>
          </s:cell>
        </s:row>
        <s:row r="137">
          <s:cell r="F137" t="str">
            <s:v>руб.</s:v>
          </s:cell>
          <s:cell r="H137" t="str">
            <s:v>руб.</s:v>
          </s:cell>
        </s:row>
        <s:row r="144">
          <s:cell r="B144" t="str">
            <s:v>Итого:</s:v>
          </s:cell>
        </s:row>
        <s:row r="148">
          <s:cell r="F148" t="str">
            <s:v>руб.</s:v>
          </s:cell>
          <s:cell r="H148" t="str">
            <s:v>руб.</s:v>
          </s:cell>
        </s:row>
        <s:row r="155">
          <s:cell r="B155" t="str">
            <s:v>Итого:</s:v>
          </s:cell>
        </s:row>
      </s:sheetData>
      <s:sheetData sheetId="2" refreshError="1"/>
      <s:sheetData sheetId="3" refreshError="1"/>
      <s:sheetData sheetId="4" refreshError="1"/>
      <s:sheetData sheetId="5" refreshError="1"/>
      <s:sheetData sheetId="6" refreshError="1"/>
      <s:sheetData sheetId="7" refreshError="1"/>
      <s:sheetData sheetId="8" refreshError="1"/>
    </s:sheetDataSet>
  </s:externalBook>
</s:externalLink>
</file>

<file path=xl/externalLinks/externalLink5.xml><?xml version="1.0" encoding="utf-8"?>
<s:externalLink xmlns: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 mc:Ignorable="x14">
  <s:externalBook r:id="rId1">
    <s:sheetNames>
      <s:sheetName val="Введение"/>
      <s:sheetName val="Параметры"/>
      <s:sheetName val="Оценка Трудозатрат"/>
      <s:sheetName val="Роли и Ставки"/>
      <s:sheetName val="Назначения Ролей"/>
      <s:sheetName val="Бюджет"/>
      <s:sheetName val="Штат"/>
      <s:sheetName val="Workstream View"/>
      <s:sheetName val="Activity Type View"/>
      <s:sheetName val="Headcount Plan"/>
      <s:sheetName val="Properties"/>
      <s:sheetName val="Window Sizer"/>
    </s:sheetNames>
    <s:sheetDataSet>
      <s:sheetData sheetId="0"/>
      <s:sheetData sheetId="1"/>
      <s:sheetData sheetId="2">
        <s:row r="8">
          <s:cell r="B8" t="str">
            <s:v>Требования</s:v>
          </s:cell>
          <s:cell r="C8" t="str">
            <s:v>Уточнение и Детализаци Требований</s:v>
          </s:cell>
          <s:cell r="D8" t="str">
            <s:v>R</s:v>
          </s:cell>
          <s:cell r="E8" t="str">
            <s:v>Уточнение бизнес-требований и объема проекта. Предполагается, бизнес-вопросы или аналогичное выражение определение уже существуют, а также существуют все аналитические алгоритмы, которые необходимо реализовать в решение. Это не услуга по созданию ценности для бизнеса.
В SOW установите границы для этой деятельности. Например, количество семинаров, количество людей, ... Или просто временной интервал.</s:v>
          </s:cell>
          <s:cell r="F8" t="str">
            <s:v>Зависит от обстоятельств и Заказчика. 
По умолчанию - 15 чд.</s:v>
          </s:cell>
          <s:cell r="G8">
            <s:v>15</s:v>
          </s:cell>
          <s:cell r="I8">
            <s:v>15</s:v>
          </s:cell>
        </s:row>
        <s:row r="9">
          <s:cell r="B9" t="str">
            <s:v>Требования</s:v>
          </s:cell>
          <s:cell r="C9" t="str">
            <s:v xml:space="preserve">Проведение встреч с ключевыми пользователями </s:v>
          </s:cell>
          <s:cell r="D9" t="str">
            <s:v>R</s:v>
          </s:cell>
          <s:cell r="E9" t="str">
            <s:v>Подготовка к, проведение и документирование результатов встреч с ключевыми пользователями и заинтересованными сторонами</s:v>
          </s:cell>
          <s:cell r="F9" t="str">
            <s:v>Количество интервью
8 ч на интервью</s:v>
          </s:cell>
          <s:cell r="G9">
            <s:v>5</s:v>
          </s:cell>
          <s:cell r="I9">
            <s:v>5</s:v>
          </s:cell>
        </s:row>
        <s:row r="10">
          <s:cell r="B10" t="str">
            <s:v>Архитектура Решения</s:v>
          </s:cell>
          <s:cell r="C10" t="str">
            <s:v>Проектирование Архитетуры Решения</s:v>
          </s:cell>
          <s:cell r="D10" t="str">
            <s:v>D</s:v>
          </s:cell>
          <s:cell r="F10" t="str">
            <s:v>Продолжительность 2 месяца, 1.5 FTE</s:v>
          </s:cell>
          <s:cell r="G10">
            <s:v>66</s:v>
          </s:cell>
          <s:cell r="I10">
            <s:v>66</s:v>
          </s:cell>
        </s:row>
        <s:row r="11">
          <s:cell r="B11" t="str">
            <s:v>Архитектура Решения</s:v>
          </s:cell>
          <s:cell r="C11" t="str">
            <s:v>Архитектурный контроль</s:v>
          </s:cell>
          <s:cell r="D11" t="str">
            <s:v>D</s:v>
          </s:cell>
          <s:cell r="F11" t="str">
            <s:v>0.5-1 FTE после проектирования Архитектуры Решения</s:v>
          </s:cell>
          <s:cell r="G11">
            <s:v>55</s:v>
          </s:cell>
          <s:cell r="I11">
            <s:v>55</s:v>
          </s:cell>
        </s:row>
        <s:row r="12">
          <s:cell r="B12" t="str">
            <s:v>Проектирование Модели Данных</s:v>
          </s:cell>
          <s:cell r="C12" t="str">
            <s:v>Концептуальное моделирование</s:v>
          </s:cell>
          <s:cell r="D12" t="str">
            <s:v>D</s:v>
          </s:cell>
          <s:cell r="E12" t="str">
            <s:v>Начните работу с ЛМД, собрав и кратко изучив существующие модели, клиентскую терминологию, бизнес-вопросы, а также обзор исходных систем и определений данных и т. д., и подготовьте следующие шаги рабочего плана.
Сюда не входит разработка бизнес-требований/бизнес-вопросов.</s:v>
          </s:cell>
          <s:cell r="F12" t="str">
            <s:v>Зависит от окружения и готовности Заказчика. 
Простое: 40ч 
Среднее: 64ч
Сложное: 96ч</s:v>
          </s:cell>
          <s:cell r="G12">
            <s:v>8</s:v>
          </s:cell>
          <s:cell r="I12">
            <s:v>8</s:v>
          </s:cell>
        </s:row>
        <s:row r="13">
          <s:cell r="B13" t="str">
            <s:v>Проектирование Модели Данных</s:v>
          </s:cell>
          <s:cell r="C13" t="str">
            <s:v>Проектирование Логической Модели Данных</s:v>
          </s:cell>
          <s:cell r="D13" t="str">
            <s:v>D</s:v>
          </s:cell>
          <s:cell r="E13" t="str">
            <s:v>Создайте логическую модель данных, состоящую только из тех сущностей, которые необходимы для ответа на бизнес-вопросы клиента. Убедитесь, что отношения между сущностями соответствуют Бизнес-правилам Клиента, и при необходимости измените определения сущностей в файле Erwin, чтобы они соответствовали определениям Клиента, и добавьте примеры использования этих сущностей Клиентом.
Работа включает в себя изучение существующих логических/предметных моделей клиента, обсуждение использования областей в этой модели и принятие решения о том, в какие предметные области (SA) в рамках ЛМД эти концепции переводятся, беря эту предметную область и создавая «адаптированную» версию предметной области, за исключением тех объектов, которые не требуются.</s:v>
          </s:cell>
          <s:cell r="F13" t="str">
            <s:v>Количество Предметных Областей
Сложность Предметных Областей
Простая ПО: 8ч
Средняя ПО: 24ч
Сложная ПО: 40ч</s:v>
          </s:cell>
          <s:cell r="G13">
            <s:v>15</s:v>
          </s:cell>
          <s:cell r="I13">
            <s:v>15</s:v>
          </s:cell>
        </s:row>
        <s:row r="14">
          <s:cell r="B14" t="str">
            <s:v>Проектирование Модели Данных</s:v>
          </s:cell>
          <s:cell r="C14" t="str">
            <s:v>Отображение бизнес-вопросов</s:v>
          </s:cell>
          <s:cell r="D14" t="str">
            <s:v>D</s:v>
          </s:cell>
          <s:cell r="E14" t="str">
            <s:v>Создайте обображение бизнес-процессов на сущности, документируя, какие бизнес-процессы используют какие сущности. Это гарантирует, что адаптированная ЛМД сможет ответить на все бизнес-вопросы, а также поможет выявить сущности, которые не нужны.</s:v>
          </s:cell>
          <s:cell r="F14" t="str">
            <s:v>Количество Бизнес-Вопросов
В среднем на БВ: 8ч</s:v>
          </s:cell>
          <s:cell r="G14">
            <s:v>2</s:v>
          </s:cell>
          <s:cell r="I14">
            <s:v>2</s:v>
          </s:cell>
        </s:row>
        <s:row r="15">
          <s:cell r="B15" t="str">
            <s:v>Проектирование Модели Данных</s:v>
          </s:cell>
          <s:cell r="C15" t="str">
            <s:v>Аттрибутирование ЛМД</s:v>
          </s:cell>
          <s:cell r="D15" t="str">
            <s:v>D</s:v>
          </s:cell>
          <s:cell r="E15" t="str">
            <s:v>Проверьте все атрибуты адаптированной модели. Активность состоит из двух частей: (a) проверить, нужны ли все атрибуты в объектах, выбранных из iLDM (и, если нет, удалить или дать префикс и сделать «Только логический») и убедиться, что определения верны и действительны в контексте использования Заказчиком, и (b) проверить наличие каких-либо атрибутов, необходимых для ответа на бизнес-вопрос, которых еще нет в iLDM.</s:v>
          </s:cell>
          <s:cell r="F15" t="str">
            <s:v>Количество Сущностей (или Атрибутов)
на Сущность: 3 часа
Примечание: В среднем на одну сущность в iLDM приходится 4-5 атрибутов.</s:v>
          </s:cell>
          <s:cell r="G15">
            <s:v>19</s:v>
          </s:cell>
          <s:cell r="I15">
            <s:v>19</s:v>
          </s:cell>
        </s:row>
        <s:row r="16">
          <s:cell r="B16" t="str">
            <s:v>Проектирование Модели Данных</s:v>
          </s:cell>
          <s:cell r="C16" t="str">
            <s:v>Отображение источников</s:v>
          </s:cell>
          <s:cell r="D16" t="str">
            <s:v>D</s:v>
          </s:cell>
          <s:cell r="E16" t="str">
            <s:v>Создание отображения объектов логической модели данных на каждый из элементов данных в выбранных системах-источниках. (Обычно это простая электронная таблица Excel с исходными элементами данных и соответствующими им атрибутами объектов ЛМД)
Примечание: Это еще не детальная карта отображения источника (включая правила преобразования) от элементов источника данных в модель данных. Детальная карта отображения источника выполняется на основе  физической модели данных и часто называется SMX или S2T.
Оценка предполагает наличие полной и ясной для понимания документации по элементам исходных данных.</s:v>
          </s:cell>
          <s:cell r="F16" t="str">
            <s:v>Количество полей данных в источниках
На поле источника: 20 мин</s:v>
          </s:cell>
          <s:cell r="G16">
            <s:v>13</s:v>
          </s:cell>
          <s:cell r="I16">
            <s:v>13</s:v>
          </s:cell>
        </s:row>
        <s:row r="17">
          <s:cell r="B17" t="str">
            <s:v>Инфраструктура</s:v>
          </s:cell>
          <s:cell r="C17" t="str">
            <s:v>Создание и поддержка инфраструктуры проекта</s:v>
          </s:cell>
          <s:cell r="D17" t="str">
            <s:v>I</s:v>
          </s:cell>
          <s:cell r="E17" t="str">
            <s:v>Создание и поддержка среды проекта, включая среды ETL и BI.</s:v>
          </s:cell>
          <s:cell r="F17" t="str">
            <s:v xml:space="preserve">В завистимости от размера проектной команды на фазы Build и Test  (примерно 1/2 продолжительности проекта)
&lt; 10 FTE: 1-2 FTE
&gt; 10 FTE: 2-5 FTE   
Поумолчанию: 1,5 FTE
</s:v>
          </s:cell>
          <s:cell r="G17">
            <s:v>116</s:v>
          </s:cell>
          <s:cell r="I17">
            <s:v>116</s:v>
          </s:cell>
        </s:row>
        <s:row r="18">
          <s:cell r="B18" t="str">
            <s:v>Реализация Модели Данных</s:v>
          </s:cell>
          <s:cell r="C18" t="str">
            <s:v>Реализация физической базы данных</s:v>
          </s:cell>
          <s:cell r="D18" t="str">
            <s:v>B</s:v>
          </s:cell>
          <s:cell r="E18" t="str">
            <s:v>Иерархия базы данных
Настройка инструментария DBA проекта
Переход от ЛМД к физическому дизайну базы данных
Промежуточные таблицы (Staging)</s:v>
          </s:cell>
          <s:cell r="F18" t="str">
            <s:v>Количество таблиц
Первоначальная ФМД:
~200 ч + 
~ 1 ч на таблицу</s:v>
          </s:cell>
          <s:cell r="G18">
            <s:v>32</s:v>
          </s:cell>
          <s:cell r="I18">
            <s:v>32</s:v>
          </s:cell>
        </s:row>
        <s:row r="19">
          <s:cell r="B19" t="str">
            <s:v>Реализация Модели Данных</s:v>
          </s:cell>
          <s:cell r="C19" t="str">
            <s:v>Администрирование  ФМД</s:v>
          </s:cell>
          <s:cell r="D19" t="str">
            <s:v>B</s:v>
          </s:cell>
          <s:cell r="E19" t="str">
            <s:v>Текущие активности администратора базы данных
(тюнинг ФМД, сбор статистики, создание слоя представлений, промежуточной области)</s:v>
          </s:cell>
          <s:cell r="F19" t="str">
            <s:v xml:space="preserve"> 0,5-1 FTE для активностей DBA до конца тестирования (примерно 1/2 продолжительности проекта)</s:v>
          </s:cell>
          <s:cell r="G19">
            <s:v>39</s:v>
          </s:cell>
          <s:cell r="I19">
            <s:v>39</s:v>
          </s:cell>
        </s:row>
        <s:row r="20">
          <s:cell r="B20" t="str">
            <s:v>Захват и Интеграция Данных</s:v>
          </s:cell>
          <s:cell r="C20" t="str">
            <s:v>Проектирование захвата и интеграции данныхData Acquisition &amp; Integration Design</s:v>
          </s:cell>
          <s:cell r="D20" t="str">
            <s:v>D</s:v>
          </s:cell>
          <s:cell r="F20" t="str">
            <s:v>3-4 недели
2-3 FTE</s:v>
          </s:cell>
          <s:cell r="G20">
            <s:v>45</s:v>
          </s:cell>
          <s:cell r="I20">
            <s:v>45</s:v>
          </s:cell>
        </s:row>
        <s:row r="21">
          <s:cell r="B21" t="str">
            <s:v>Захват и Интеграция Данных</s:v>
          </s:cell>
          <s:cell r="C21" t="str">
            <s:v>Анализ систем-источников и данных в них</s:v>
          </s:cell>
          <s:cell r="D21" t="str">
            <s:v>R</s:v>
          </s:cell>
          <s:cell r="F21" t="str">
            <s:v># систем
# таблиц
40 ч /систему
8 ч / таблицу</s:v>
          </s:cell>
          <s:cell r="G21">
            <s:v>110</s:v>
          </s:cell>
          <s:cell r="I21">
            <s:v>110</s:v>
          </s:cell>
        </s:row>
        <s:row r="22">
          <s:cell r="B22" t="str">
            <s:v>Захват и Интеграция Данных</s:v>
          </s:cell>
          <s:cell r="C22" t="str">
            <s:v>Проектирование интерфейсов в системам-источникам</s:v>
          </s:cell>
          <s:cell r="D22" t="str">
            <s:v>D</s:v>
          </s:cell>
          <s:cell r="F22" t="str">
            <s:v># таблиц источников
8 ч / таблицу (если делаем)</s:v>
          </s:cell>
          <s:cell r="G22">
            <s:v>100</s:v>
          </s:cell>
          <s:cell r="I22">
            <s:v>100</s:v>
          </s:cell>
        </s:row>
        <s:row r="23">
          <s:cell r="B23" t="str">
            <s:v>Захват и Интеграция Данных</s:v>
          </s:cell>
          <s:cell r="C23" t="str">
            <s:v>Отображение источников (SMX / S2T)</s:v>
          </s:cell>
          <s:cell r="D23" t="str">
            <s:v>D</s:v>
          </s:cell>
          <s:cell r="E23" t="str">
            <s:v>Подробная спецификация сопоставления источника и приемника с правилами преобразования ("SMX" / "S2T")</s:v>
          </s:cell>
          <s:cell r="F23" t="str">
            <s:v># полей источников
 ~ 0,5 ч / поле источника</s:v>
          </s:cell>
          <s:cell r="G23">
            <s:v>19</s:v>
          </s:cell>
          <s:cell r="I23">
            <s:v>19</s:v>
          </s:cell>
        </s:row>
        <s:row r="24">
          <s:cell r="B24" t="str">
            <s:v>Захват и Интеграция Данных</s:v>
          </s:cell>
          <s:cell r="C24" t="str">
            <s:v>Создание компонентов слоя промежуточного (Staging) хранения данных (от источника до промежуточных таблиц)</s:v>
          </s:cell>
          <s:cell r="D24" t="str">
            <s:v>B</s:v>
          </s:cell>
          <s:cell r="F24" t="str">
            <s:v># таблиц источников
~ 10 ч / таблицу источника</s:v>
          </s:cell>
          <s:cell r="G24">
            <s:v>125</s:v>
          </s:cell>
          <s:cell r="I24">
            <s:v>125</s:v>
          </s:cell>
        </s:row>
        <s:row r="25">
          <s:cell r="B25" t="str">
            <s:v>Захват и Интеграция Данных</s:v>
          </s:cell>
          <s:cell r="C25" t="str">
            <s:v>Создание компонентов преобразования данных (от промежуточного слоя к слою детальных данных)</s:v>
          </s:cell>
          <s:cell r="D25" t="str">
            <s:v>B</s:v>
          </s:cell>
          <s:cell r="F25" t="str">
            <s:v xml:space="preserve"># таблиц источников и детального слоя
10 ч / таблицу источника + 
10 ч / табицу-приемник
</s:v>
          </s:cell>
          <s:cell r="G25">
            <s:v>188</s:v>
          </s:cell>
          <s:cell r="I25">
            <s:v>188</s:v>
          </s:cell>
        </s:row>
        <s:row r="26">
          <s:cell r="B26" t="str">
            <s:v>Аналитическая Отчетность (BI)</s:v>
          </s:cell>
          <s:cell r="C26" t="str">
            <s:v>Слой доступа приложений (в СУБД)</s:v>
          </s:cell>
          <s:cell r="D26" t="str">
            <s:v>B</s:v>
          </s:cell>
          <s:cell r="E26" t="str">
            <s:v>При условии, что сложные формулы для расчета базовых показателей предоставлены заказчиком. Обеспечить  при уточнении бизнес-требований.</s:v>
          </s:cell>
          <s:cell r="F26" t="str">
            <s:v># базовых показателей (мер)
# измерений (иерархий атрибутов)
16 ч / базовый показатель
8 ч / измерение</s:v>
          </s:cell>
          <s:cell r="G26">
            <s:v>70</s:v>
          </s:cell>
          <s:cell r="I26">
            <s:v>70</s:v>
          </s:cell>
        </s:row>
        <s:row r="27">
          <s:cell r="B27" t="str">
            <s:v>Аналитическая Отчетность (BI)</s:v>
          </s:cell>
          <s:cell r="C27" t="str">
            <s:v>Настройка аналитического слоя в BI инструменте</s:v>
          </s:cell>
          <s:cell r="D27" t="str">
            <s:v>B</s:v>
          </s:cell>
          <s:cell r="F27" t="str">
            <s:v xml:space="preserve"># базовых показателей (мер)
# измерений (иерархий атрибутов)
2 ч / базовый показатель
1 ч / измерение
</s:v>
          </s:cell>
          <s:cell r="G27">
            <s:v>9</s:v>
          </s:cell>
          <s:cell r="I27">
            <s:v>9</s:v>
          </s:cell>
        </s:row>
        <s:row r="28">
          <s:cell r="B28" t="str">
            <s:v>Аналитическая Отчетность (BI)</s:v>
          </s:cell>
          <s:cell r="C28" t="str">
            <s:v>Страниц отчетов в BI инструменте</s:v>
          </s:cell>
          <s:cell r="D28" t="str">
            <s:v>B</s:v>
          </s:cell>
          <s:cell r="F28" t="str">
            <s:v xml:space="preserve"># страниц (набор данных) отчета 
# фильтров
4 часов на страницу
2 часа на фильтр
</s:v>
          </s:cell>
          <s:cell r="G28">
            <s:v>8</s:v>
          </s:cell>
          <s:cell r="I28">
            <s:v>8</s:v>
          </s:cell>
        </s:row>
        <s:row r="29">
          <s:cell r="B29" t="str">
            <s:v>Тестирование и Контроль Качества</s:v>
          </s:cell>
          <s:cell r="C29" t="str">
            <s:v>Тестирование</s:v>
          </s:cell>
          <s:cell r="D29" t="str">
            <s:v>T</s:v>
          </s:cell>
          <s:cell r="E29" t="str">
            <s:v xml:space="preserve">Планирование и выполнение интеграционных и системных тестов
Поддержка ПСИ
Исправление дефектов
</s:v>
          </s:cell>
          <s:cell r="F29" t="str">
            <s:v>80% от Разработки (Вuild)
PS! Использована эффективная оценка разработки</s:v>
          </s:cell>
          <s:cell r="G29">
            <s:v>377</s:v>
          </s:cell>
          <s:cell r="I29">
            <s:v>377</s:v>
          </s:cell>
        </s:row>
        <s:row r="30">
          <s:cell r="B30" t="str">
            <s:v>Управление Проектом</s:v>
          </s:cell>
          <s:cell r="C30" t="str">
            <s:v>Управление Проектом</s:v>
          </s:cell>
          <s:cell r="D30" t="str">
            <s:v>M</s:v>
          </s:cell>
          <s:cell r="F30" t="str">
            <s:v>Max (1 FTE, 15%-20% of all other). Using Effective Est.</s:v>
          </s:cell>
          <s:cell r="G30">
            <s:v>288</s:v>
          </s:cell>
          <s:cell r="I30">
            <s:v>288</s:v>
          </s:cell>
        </s:row>
        <s:row r="31">
          <s:cell r="B31" t="str">
            <s:v>Другое</s:v>
          </s:cell>
          <s:cell r="C31" t="str">
            <s:v>{добавь свое}</s:v>
          </s:cell>
          <s:cell r="D31" t="str">
            <s:v>R</s:v>
          </s:cell>
          <s:cell r="E31" t="str">
            <s:v>{добавь свое}</s:v>
          </s:cell>
          <s:cell r="G31" t="str">
            <s:v>N/A</s:v>
          </s:cell>
          <s:cell r="I31">
            <s:v>0</s:v>
          </s:cell>
        </s:row>
        <s:row r="32">
          <s:cell r="B32" t="str">
            <s:v>Другое</s:v>
          </s:cell>
          <s:cell r="C32" t="str">
            <s:v>{добавь свое}</s:v>
          </s:cell>
          <s:cell r="D32" t="str">
            <s:v>R</s:v>
          </s:cell>
          <s:cell r="E32" t="str">
            <s:v>{добавь свое}</s:v>
          </s:cell>
          <s:cell r="G32" t="str">
            <s:v>N/A</s:v>
          </s:cell>
          <s:cell r="I32">
            <s:v>0</s:v>
          </s:cell>
        </s:row>
        <s:row r="33">
          <s:cell r="B33" t="str">
            <s:v>Другое</s:v>
          </s:cell>
          <s:cell r="C33" t="str">
            <s:v>{добавь свое}</s:v>
          </s:cell>
          <s:cell r="D33" t="str">
            <s:v>R</s:v>
          </s:cell>
          <s:cell r="E33" t="str">
            <s:v>{добавь свое}</s:v>
          </s:cell>
          <s:cell r="G33" t="str">
            <s:v>N/A</s:v>
          </s:cell>
          <s:cell r="I33">
            <s:v>0</s:v>
          </s:cell>
        </s:row>
        <s:row r="34">
          <s:cell r="B34" t="str">
            <s:v>Другое</s:v>
          </s:cell>
          <s:cell r="C34" t="str">
            <s:v>{добавь свое}</s:v>
          </s:cell>
          <s:cell r="D34" t="str">
            <s:v>R</s:v>
          </s:cell>
          <s:cell r="E34" t="str">
            <s:v>{добавь свое}</s:v>
          </s:cell>
          <s:cell r="G34" t="str">
            <s:v>N/A</s:v>
          </s:cell>
          <s:cell r="I34">
            <s:v>0</s:v>
          </s:cell>
        </s:row>
        <s:row r="35">
          <s:cell r="B35" t="str">
            <s:v>Другое</s:v>
          </s:cell>
          <s:cell r="C35" t="str">
            <s:v>{добавь свое}</s:v>
          </s:cell>
          <s:cell r="D35" t="str">
            <s:v>R</s:v>
          </s:cell>
          <s:cell r="E35" t="str">
            <s:v>{добавь свое}</s:v>
          </s:cell>
          <s:cell r="G35" t="str">
            <s:v>N/A</s:v>
          </s:cell>
          <s:cell r="I35">
            <s:v>0</s:v>
          </s:cell>
        </s:row>
        <s:row r="36">
          <s:cell r="B36" t="str">
            <s:v>Другое</s:v>
          </s:cell>
          <s:cell r="C36" t="str">
            <s:v>{добавь свое}</s:v>
          </s:cell>
          <s:cell r="D36" t="str">
            <s:v>R</s:v>
          </s:cell>
          <s:cell r="E36" t="str">
            <s:v>{добавь свое}</s:v>
          </s:cell>
          <s:cell r="G36" t="str">
            <s:v>N/A</s:v>
          </s:cell>
          <s:cell r="I36">
            <s:v>0</s:v>
          </s:cell>
        </s:row>
        <s:row r="37">
          <s:cell r="B37" t="str">
            <s:v>Другое</s:v>
          </s:cell>
          <s:cell r="C37" t="str">
            <s:v>{добавь свое}</s:v>
          </s:cell>
          <s:cell r="D37" t="str">
            <s:v>R</s:v>
          </s:cell>
          <s:cell r="E37" t="str">
            <s:v>{добавь свое}</s:v>
          </s:cell>
          <s:cell r="G37" t="str">
            <s:v>N/A</s:v>
          </s:cell>
          <s:cell r="I37">
            <s:v>0</s:v>
          </s:cell>
        </s:row>
        <s:row r="38">
          <s:cell r="B38" t="str">
            <s:v>Другое</s:v>
          </s:cell>
          <s:cell r="C38" t="str">
            <s:v>{добавь свое}</s:v>
          </s:cell>
          <s:cell r="D38" t="str">
            <s:v>R</s:v>
          </s:cell>
          <s:cell r="E38" t="str">
            <s:v>{добавь свое}</s:v>
          </s:cell>
          <s:cell r="G38" t="str">
            <s:v>N/A</s:v>
          </s:cell>
          <s:cell r="I38">
            <s:v>0</s:v>
          </s:cell>
        </s:row>
        <s:row r="39">
          <s:cell r="B39" t="str">
            <s:v>Другое</s:v>
          </s:cell>
          <s:cell r="C39" t="str">
            <s:v>{добавь свое}</s:v>
          </s:cell>
          <s:cell r="D39" t="str">
            <s:v>R</s:v>
          </s:cell>
          <s:cell r="E39" t="str">
            <s:v>{добавь свое}</s:v>
          </s:cell>
          <s:cell r="G39" t="str">
            <s:v>N/A</s:v>
          </s:cell>
          <s:cell r="I39">
            <s:v>0</s:v>
          </s:cell>
        </s:row>
      </s:sheetData>
      <s:sheetData sheetId="3"/>
      <s:sheetData sheetId="4"/>
      <s:sheetData sheetId="5"/>
      <s:sheetData sheetId="6"/>
      <s:sheetData sheetId="7"/>
      <s:sheetData sheetId="8"/>
      <s:sheetData sheetId="9"/>
      <s:sheetData sheetId="10"/>
      <s:sheetData sheetId="11"/>
    </s:sheetDataSet>
  </s:externalBook>
</s:externalLink>
</file>

<file path=xl/externalLinks/externalLink6.xml><?xml version="1.0" encoding="utf-8"?>
<s:externalLink xmlns: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 mc:Ignorable="x14">
  <s:externalBook r:id="rId1">
    <s:sheetNames>
      <s:sheetName val="Введение"/>
      <s:sheetName val="Параметры"/>
      <s:sheetName val="Оценка Трудозатрат"/>
      <s:sheetName val="Роли и Ставки"/>
      <s:sheetName val="Назначения Ролей"/>
      <s:sheetName val="Бюджет"/>
      <s:sheetName val="Штат"/>
      <s:sheetName val="Workstream View"/>
      <s:sheetName val="Activity Type View"/>
      <s:sheetName val="Headcount Plan"/>
      <s:sheetName val="Properties"/>
      <s:sheetName val="Window Sizer"/>
    </s:sheetNames>
    <s:sheetDataSet>
      <s:sheetData sheetId="0"/>
      <s:sheetData sheetId="1"/>
      <s:sheetData sheetId="2">
        <s:row r="8">
          <s:cell r="B8" t="str">
            <s:v>Требования</s:v>
          </s:cell>
          <s:cell r="C8" t="str">
            <s:v>Уточнение и Детализаци Требований</s:v>
          </s:cell>
          <s:cell r="D8" t="str">
            <s:v>R</s:v>
          </s:cell>
          <s:cell r="E8" t="str">
            <s:v>Уточнение бизнес-требований и объема проекта. Предполагается, бизнес-вопросы или аналогичное выражение определение уже существуют, а также существуют все аналитические алгоритмы, которые необходимо реализовать в решение. Это не услуга по созданию ценности для бизнеса.
В SOW установите границы для этой деятельности. Например, количество семинаров, количество людей, ... Или просто временной интервал.</s:v>
          </s:cell>
          <s:cell r="F8" t="str">
            <s:v>Зависит от обстоятельств и Заказчика. 
По умолчанию - 15 чд.</s:v>
          </s:cell>
          <s:cell r="G8">
            <s:v>15</s:v>
          </s:cell>
          <s:cell r="I8">
            <s:v>15</s:v>
          </s:cell>
        </s:row>
        <s:row r="9">
          <s:cell r="B9" t="str">
            <s:v>Требования</s:v>
          </s:cell>
          <s:cell r="C9" t="str">
            <s:v xml:space="preserve">Проведение встреч с ключевыми пользователями </s:v>
          </s:cell>
          <s:cell r="D9" t="str">
            <s:v>R</s:v>
          </s:cell>
          <s:cell r="E9" t="str">
            <s:v>Подготовка к, проведение и документирование результатов встреч с ключевыми пользователями и заинтересованными сторонами</s:v>
          </s:cell>
          <s:cell r="F9" t="str">
            <s:v>Количество интервью
8 ч на интервью</s:v>
          </s:cell>
          <s:cell r="G9">
            <s:v>5</s:v>
          </s:cell>
          <s:cell r="I9">
            <s:v>5</s:v>
          </s:cell>
        </s:row>
        <s:row r="10">
          <s:cell r="B10" t="str">
            <s:v>Архитектура Решения</s:v>
          </s:cell>
          <s:cell r="C10" t="str">
            <s:v>Проектирование Архитетуры Решения</s:v>
          </s:cell>
          <s:cell r="D10" t="str">
            <s:v>D</s:v>
          </s:cell>
          <s:cell r="F10" t="str">
            <s:v>Продолжительность 2 месяца, 1.5 FTE</s:v>
          </s:cell>
          <s:cell r="G10">
            <s:v>66</s:v>
          </s:cell>
          <s:cell r="I10">
            <s:v>66</s:v>
          </s:cell>
        </s:row>
        <s:row r="11">
          <s:cell r="B11" t="str">
            <s:v>Архитектура Решения</s:v>
          </s:cell>
          <s:cell r="C11" t="str">
            <s:v>Архитектурный контроль</s:v>
          </s:cell>
          <s:cell r="D11" t="str">
            <s:v>D</s:v>
          </s:cell>
          <s:cell r="F11" t="str">
            <s:v>0.5-1 FTE после проектирования Архитектуры Решения</s:v>
          </s:cell>
          <s:cell r="G11">
            <s:v>55</s:v>
          </s:cell>
          <s:cell r="I11">
            <s:v>55</s:v>
          </s:cell>
        </s:row>
        <s:row r="12">
          <s:cell r="B12" t="str">
            <s:v>Проектирование Модели Данных</s:v>
          </s:cell>
          <s:cell r="C12" t="str">
            <s:v>Концептуальное моделирование</s:v>
          </s:cell>
          <s:cell r="D12" t="str">
            <s:v>D</s:v>
          </s:cell>
          <s:cell r="E12" t="str">
            <s:v>Начните работу с ЛМД, собрав и кратко изучив существующие модели, клиентскую терминологию, бизнес-вопросы, а также обзор исходных систем и определений данных и т. д., и подготовьте следующие шаги рабочего плана.
Сюда не входит разработка бизнес-требований/бизнес-вопросов.</s:v>
          </s:cell>
          <s:cell r="F12" t="str">
            <s:v>Зависит от окружения и готовности Заказчика. 
Простое: 40ч 
Среднее: 64ч
Сложное: 96ч</s:v>
          </s:cell>
          <s:cell r="G12">
            <s:v>8</s:v>
          </s:cell>
          <s:cell r="I12">
            <s:v>8</s:v>
          </s:cell>
        </s:row>
        <s:row r="13">
          <s:cell r="B13" t="str">
            <s:v>Проектирование Модели Данных</s:v>
          </s:cell>
          <s:cell r="C13" t="str">
            <s:v>Проектирование Логической Модели Данных</s:v>
          </s:cell>
          <s:cell r="D13" t="str">
            <s:v>D</s:v>
          </s:cell>
          <s:cell r="E13" t="str">
            <s:v>Создайте логическую модель данных, состоящую только из тех сущностей, которые необходимы для ответа на бизнес-вопросы клиента. Убедитесь, что отношения между сущностями соответствуют Бизнес-правилам Клиента, и при необходимости измените определения сущностей в файле Erwin, чтобы они соответствовали определениям Клиента, и добавьте примеры использования этих сущностей Клиентом.
Работа включает в себя изучение существующих логических/предметных моделей клиента, обсуждение использования областей в этой модели и принятие решения о том, в какие предметные области (SA) в рамках ЛМД эти концепции переводятся, беря эту предметную область и создавая «адаптированную» версию предметной области, за исключением тех объектов, которые не требуются.</s:v>
          </s:cell>
          <s:cell r="F13" t="str">
            <s:v>Количество Предметных Областей
Сложность Предметных Областей
Простая ПО: 8ч
Средняя ПО: 24ч
Сложная ПО: 40ч</s:v>
          </s:cell>
          <s:cell r="G13">
            <s:v>15</s:v>
          </s:cell>
          <s:cell r="I13">
            <s:v>15</s:v>
          </s:cell>
        </s:row>
        <s:row r="14">
          <s:cell r="B14" t="str">
            <s:v>Проектирование Модели Данных</s:v>
          </s:cell>
          <s:cell r="C14" t="str">
            <s:v>Отображение бизнес-вопросов</s:v>
          </s:cell>
          <s:cell r="D14" t="str">
            <s:v>D</s:v>
          </s:cell>
          <s:cell r="E14" t="str">
            <s:v>Создайте обображение бизнес-процессов на сущности, документируя, какие бизнес-процессы используют какие сущности. Это гарантирует, что адаптированная ЛМД сможет ответить на все бизнес-вопросы, а также поможет выявить сущности, которые не нужны.</s:v>
          </s:cell>
          <s:cell r="F14" t="str">
            <s:v>Количество Бизнес-Вопросов
В среднем на БВ: 8ч</s:v>
          </s:cell>
          <s:cell r="G14">
            <s:v>2</s:v>
          </s:cell>
          <s:cell r="I14">
            <s:v>2</s:v>
          </s:cell>
        </s:row>
        <s:row r="15">
          <s:cell r="B15" t="str">
            <s:v>Проектирование Модели Данных</s:v>
          </s:cell>
          <s:cell r="C15" t="str">
            <s:v>Аттрибутирование ЛМД</s:v>
          </s:cell>
          <s:cell r="D15" t="str">
            <s:v>D</s:v>
          </s:cell>
          <s:cell r="E15" t="str">
            <s:v>Проверьте все атрибуты адаптированной модели. Активность состоит из двух частей: (a) проверить, нужны ли все атрибуты в объектах, выбранных из iLDM (и, если нет, удалить или дать префикс и сделать «Только логический») и убедиться, что определения верны и действительны в контексте использования Заказчиком, и (b) проверить наличие каких-либо атрибутов, необходимых для ответа на бизнес-вопрос, которых еще нет в iLDM.</s:v>
          </s:cell>
          <s:cell r="F15" t="str">
            <s:v>Количество Сущностей (или Атрибутов)
на Сущность: 3 часа
Примечание: В среднем на одну сущность в iLDM приходится 4-5 атрибутов.</s:v>
          </s:cell>
          <s:cell r="G15">
            <s:v>19</s:v>
          </s:cell>
          <s:cell r="I15">
            <s:v>19</s:v>
          </s:cell>
        </s:row>
        <s:row r="16">
          <s:cell r="B16" t="str">
            <s:v>Проектирование Модели Данных</s:v>
          </s:cell>
          <s:cell r="C16" t="str">
            <s:v>Отображение источников</s:v>
          </s:cell>
          <s:cell r="D16" t="str">
            <s:v>D</s:v>
          </s:cell>
          <s:cell r="E16" t="str">
            <s:v>Создание отображения объектов логической модели данных на каждый из элементов данных в выбранных системах-источниках. (Обычно это простая электронная таблица Excel с исходными элементами данных и соответствующими им атрибутами объектов ЛМД)
Примечание: Это еще не детальная карта отображения источника (включая правила преобразования) от элементов источника данных в модель данных. Детальная карта отображения источника выполняется на основе  физической модели данных и часто называется SMX или S2T.
Оценка предполагает наличие полной и ясной для понимания документации по элементам исходных данных.</s:v>
          </s:cell>
          <s:cell r="F16" t="str">
            <s:v>Количество полей данных в источниках
На поле источника: 20 мин</s:v>
          </s:cell>
          <s:cell r="G16">
            <s:v>13</s:v>
          </s:cell>
          <s:cell r="I16">
            <s:v>13</s:v>
          </s:cell>
        </s:row>
        <s:row r="17">
          <s:cell r="B17" t="str">
            <s:v>Инфраструктура</s:v>
          </s:cell>
          <s:cell r="C17" t="str">
            <s:v>Создание и поддержка инфраструктуры проекта</s:v>
          </s:cell>
          <s:cell r="D17" t="str">
            <s:v>I</s:v>
          </s:cell>
          <s:cell r="E17" t="str">
            <s:v>Создание и поддержка среды проекта, включая среды ETL и BI.</s:v>
          </s:cell>
          <s:cell r="F17" t="str">
            <s:v xml:space="preserve">В завистимости от размера проектной команды на фазы Build и Test  (примерно 1/2 продолжительности проекта)
&lt; 10 FTE: 1-2 FTE
&gt; 10 FTE: 2-5 FTE   
Поумолчанию: 1,5 FTE
</s:v>
          </s:cell>
          <s:cell r="G17">
            <s:v>116</s:v>
          </s:cell>
          <s:cell r="I17">
            <s:v>116</s:v>
          </s:cell>
        </s:row>
        <s:row r="18">
          <s:cell r="B18" t="str">
            <s:v>Реализация Модели Данных</s:v>
          </s:cell>
          <s:cell r="C18" t="str">
            <s:v>Реализация физической базы данных</s:v>
          </s:cell>
          <s:cell r="D18" t="str">
            <s:v>B</s:v>
          </s:cell>
          <s:cell r="E18" t="str">
            <s:v>Иерархия базы данных
Настройка инструментария DBA проекта
Переход от ЛМД к физическому дизайну базы данных
Промежуточные таблицы (Staging)</s:v>
          </s:cell>
          <s:cell r="F18" t="str">
            <s:v>Количество таблиц
Первоначальная ФМД:
~200 ч + 
~ 1 ч на таблицу</s:v>
          </s:cell>
          <s:cell r="G18">
            <s:v>32</s:v>
          </s:cell>
          <s:cell r="I18">
            <s:v>32</s:v>
          </s:cell>
        </s:row>
        <s:row r="19">
          <s:cell r="B19" t="str">
            <s:v>Реализация Модели Данных</s:v>
          </s:cell>
          <s:cell r="C19" t="str">
            <s:v>Администрирование  ФМД</s:v>
          </s:cell>
          <s:cell r="D19" t="str">
            <s:v>B</s:v>
          </s:cell>
          <s:cell r="E19" t="str">
            <s:v>Текущие активности администратора базы данных
(тюнинг ФМД, сбор статистики, создание слоя представлений, промежуточной области)</s:v>
          </s:cell>
          <s:cell r="F19" t="str">
            <s:v xml:space="preserve"> 0,5-1 FTE для активностей DBA до конца тестирования (примерно 1/2 продолжительности проекта)</s:v>
          </s:cell>
          <s:cell r="G19">
            <s:v>39</s:v>
          </s:cell>
          <s:cell r="I19">
            <s:v>39</s:v>
          </s:cell>
        </s:row>
        <s:row r="20">
          <s:cell r="B20" t="str">
            <s:v>Захват и Интеграция Данных</s:v>
          </s:cell>
          <s:cell r="C20" t="str">
            <s:v>Проектирование захвата и интеграции данныхData Acquisition &amp; Integration Design</s:v>
          </s:cell>
          <s:cell r="D20" t="str">
            <s:v>D</s:v>
          </s:cell>
          <s:cell r="F20" t="str">
            <s:v>3-4 недели
2-3 FTE</s:v>
          </s:cell>
          <s:cell r="G20">
            <s:v>45</s:v>
          </s:cell>
          <s:cell r="I20">
            <s:v>45</s:v>
          </s:cell>
        </s:row>
        <s:row r="21">
          <s:cell r="B21" t="str">
            <s:v>Захват и Интеграция Данных</s:v>
          </s:cell>
          <s:cell r="C21" t="str">
            <s:v>Анализ систем-источников и данных в них</s:v>
          </s:cell>
          <s:cell r="D21" t="str">
            <s:v>R</s:v>
          </s:cell>
          <s:cell r="F21" t="str">
            <s:v># систем
# таблиц
40 ч /систему
8 ч / таблицу</s:v>
          </s:cell>
          <s:cell r="G21">
            <s:v>110</s:v>
          </s:cell>
          <s:cell r="I21">
            <s:v>110</s:v>
          </s:cell>
        </s:row>
        <s:row r="22">
          <s:cell r="B22" t="str">
            <s:v>Захват и Интеграция Данных</s:v>
          </s:cell>
          <s:cell r="C22" t="str">
            <s:v>Проектирование интерфейсов в системам-источникам</s:v>
          </s:cell>
          <s:cell r="D22" t="str">
            <s:v>D</s:v>
          </s:cell>
          <s:cell r="F22" t="str">
            <s:v># таблиц источников
8 ч / таблицу (если делаем)</s:v>
          </s:cell>
          <s:cell r="G22">
            <s:v>100</s:v>
          </s:cell>
          <s:cell r="I22">
            <s:v>100</s:v>
          </s:cell>
        </s:row>
        <s:row r="23">
          <s:cell r="B23" t="str">
            <s:v>Захват и Интеграция Данных</s:v>
          </s:cell>
          <s:cell r="C23" t="str">
            <s:v>Отображение источников (SMX / S2T)</s:v>
          </s:cell>
          <s:cell r="D23" t="str">
            <s:v>D</s:v>
          </s:cell>
          <s:cell r="E23" t="str">
            <s:v>Подробная спецификация сопоставления источника и приемника с правилами преобразования ("SMX" / "S2T")</s:v>
          </s:cell>
          <s:cell r="F23" t="str">
            <s:v># полей источников
 ~ 0,5 ч / поле источника</s:v>
          </s:cell>
          <s:cell r="G23">
            <s:v>19</s:v>
          </s:cell>
          <s:cell r="I23">
            <s:v>19</s:v>
          </s:cell>
        </s:row>
        <s:row r="24">
          <s:cell r="B24" t="str">
            <s:v>Захват и Интеграция Данных</s:v>
          </s:cell>
          <s:cell r="C24" t="str">
            <s:v>Создание компонентов слоя промежуточного (Staging) хранения данных (от источника до промежуточных таблиц)</s:v>
          </s:cell>
          <s:cell r="D24" t="str">
            <s:v>B</s:v>
          </s:cell>
          <s:cell r="F24" t="str">
            <s:v># таблиц источников
~ 10 ч / таблицу источника</s:v>
          </s:cell>
          <s:cell r="G24">
            <s:v>125</s:v>
          </s:cell>
          <s:cell r="I24">
            <s:v>125</s:v>
          </s:cell>
        </s:row>
        <s:row r="25">
          <s:cell r="B25" t="str">
            <s:v>Захват и Интеграция Данных</s:v>
          </s:cell>
          <s:cell r="C25" t="str">
            <s:v>Создание компонентов преобразования данных (от промежуточного слоя к слою детальных данных)</s:v>
          </s:cell>
          <s:cell r="D25" t="str">
            <s:v>B</s:v>
          </s:cell>
          <s:cell r="F25" t="str">
            <s:v xml:space="preserve"># таблиц источников и детального слоя
10 ч / таблицу источника + 
10 ч / табицу-приемник
</s:v>
          </s:cell>
          <s:cell r="G25">
            <s:v>188</s:v>
          </s:cell>
          <s:cell r="I25">
            <s:v>188</s:v>
          </s:cell>
        </s:row>
        <s:row r="26">
          <s:cell r="B26" t="str">
            <s:v>Аналитическая Отчетность (BI)</s:v>
          </s:cell>
          <s:cell r="C26" t="str">
            <s:v>Слой доступа приложений (в СУБД)</s:v>
          </s:cell>
          <s:cell r="D26" t="str">
            <s:v>B</s:v>
          </s:cell>
          <s:cell r="E26" t="str">
            <s:v>При условии, что сложные формулы для расчета базовых показателей предоставлены заказчиком. Обеспечить  при уточнении бизнес-требований.</s:v>
          </s:cell>
          <s:cell r="F26" t="str">
            <s:v># базовых показателей (мер)
# измерений (иерархий атрибутов)
16 ч / базовый показатель
8 ч / измерение</s:v>
          </s:cell>
          <s:cell r="G26">
            <s:v>70</s:v>
          </s:cell>
          <s:cell r="I26">
            <s:v>70</s:v>
          </s:cell>
        </s:row>
        <s:row r="27">
          <s:cell r="B27" t="str">
            <s:v>Аналитическая Отчетность (BI)</s:v>
          </s:cell>
          <s:cell r="C27" t="str">
            <s:v>Настройка аналитического слоя в BI инструменте</s:v>
          </s:cell>
          <s:cell r="D27" t="str">
            <s:v>B</s:v>
          </s:cell>
          <s:cell r="F27" t="str">
            <s:v xml:space="preserve"># базовых показателей (мер)
# измерений (иерархий атрибутов)
2 ч / базовый показатель
1 ч / измерение
</s:v>
          </s:cell>
          <s:cell r="G27">
            <s:v>9</s:v>
          </s:cell>
          <s:cell r="I27">
            <s:v>9</s:v>
          </s:cell>
        </s:row>
        <s:row r="28">
          <s:cell r="B28" t="str">
            <s:v>Аналитическая Отчетность (BI)</s:v>
          </s:cell>
          <s:cell r="C28" t="str">
            <s:v>Страниц отчетов в BI инструменте</s:v>
          </s:cell>
          <s:cell r="D28" t="str">
            <s:v>B</s:v>
          </s:cell>
          <s:cell r="F28" t="str">
            <s:v xml:space="preserve"># страниц (набор данных) отчета 
# фильтров
4 часов на страницу
2 часа на фильтр
</s:v>
          </s:cell>
          <s:cell r="G28">
            <s:v>8</s:v>
          </s:cell>
          <s:cell r="I28">
            <s:v>8</s:v>
          </s:cell>
        </s:row>
        <s:row r="29">
          <s:cell r="B29" t="str">
            <s:v>Тестирование и Контроль Качества</s:v>
          </s:cell>
          <s:cell r="C29" t="str">
            <s:v>Тестирование</s:v>
          </s:cell>
          <s:cell r="D29" t="str">
            <s:v>T</s:v>
          </s:cell>
          <s:cell r="E29" t="str">
            <s:v xml:space="preserve">Планирование и выполнение интеграционных и системных тестов
Поддержка ПСИ
Исправление дефектов
</s:v>
          </s:cell>
          <s:cell r="F29" t="str">
            <s:v>80% от Разработки (Вuild)
PS! Использована эффективная оценка разработки</s:v>
          </s:cell>
          <s:cell r="G29">
            <s:v>377</s:v>
          </s:cell>
          <s:cell r="I29">
            <s:v>377</s:v>
          </s:cell>
        </s:row>
        <s:row r="30">
          <s:cell r="B30" t="str">
            <s:v>Управление Проектом</s:v>
          </s:cell>
          <s:cell r="C30" t="str">
            <s:v>Управление Проектом</s:v>
          </s:cell>
          <s:cell r="D30" t="str">
            <s:v>M</s:v>
          </s:cell>
          <s:cell r="F30" t="str">
            <s:v>Max (1 FTE, 15%-20% of all other). Using Effective Est.</s:v>
          </s:cell>
          <s:cell r="G30">
            <s:v>288</s:v>
          </s:cell>
          <s:cell r="I30">
            <s:v>288</s:v>
          </s:cell>
        </s:row>
        <s:row r="31">
          <s:cell r="B31" t="str">
            <s:v>Другое</s:v>
          </s:cell>
          <s:cell r="C31" t="str">
            <s:v>{добавь свое}</s:v>
          </s:cell>
          <s:cell r="D31" t="str">
            <s:v>R</s:v>
          </s:cell>
          <s:cell r="E31" t="str">
            <s:v>{добавь свое}</s:v>
          </s:cell>
          <s:cell r="G31" t="str">
            <s:v>N/A</s:v>
          </s:cell>
          <s:cell r="I31">
            <s:v>0</s:v>
          </s:cell>
        </s:row>
        <s:row r="32">
          <s:cell r="B32" t="str">
            <s:v>Другое</s:v>
          </s:cell>
          <s:cell r="C32" t="str">
            <s:v>{добавь свое}</s:v>
          </s:cell>
          <s:cell r="D32" t="str">
            <s:v>R</s:v>
          </s:cell>
          <s:cell r="E32" t="str">
            <s:v>{добавь свое}</s:v>
          </s:cell>
          <s:cell r="G32" t="str">
            <s:v>N/A</s:v>
          </s:cell>
          <s:cell r="I32">
            <s:v>0</s:v>
          </s:cell>
        </s:row>
        <s:row r="33">
          <s:cell r="B33" t="str">
            <s:v>Другое</s:v>
          </s:cell>
          <s:cell r="C33" t="str">
            <s:v>{добавь свое}</s:v>
          </s:cell>
          <s:cell r="D33" t="str">
            <s:v>R</s:v>
          </s:cell>
          <s:cell r="E33" t="str">
            <s:v>{добавь свое}</s:v>
          </s:cell>
          <s:cell r="G33" t="str">
            <s:v>N/A</s:v>
          </s:cell>
          <s:cell r="I33">
            <s:v>0</s:v>
          </s:cell>
        </s:row>
        <s:row r="34">
          <s:cell r="B34" t="str">
            <s:v>Другое</s:v>
          </s:cell>
          <s:cell r="C34" t="str">
            <s:v>{добавь свое}</s:v>
          </s:cell>
          <s:cell r="D34" t="str">
            <s:v>R</s:v>
          </s:cell>
          <s:cell r="E34" t="str">
            <s:v>{добавь свое}</s:v>
          </s:cell>
          <s:cell r="G34" t="str">
            <s:v>N/A</s:v>
          </s:cell>
          <s:cell r="I34">
            <s:v>0</s:v>
          </s:cell>
        </s:row>
        <s:row r="35">
          <s:cell r="B35" t="str">
            <s:v>Другое</s:v>
          </s:cell>
          <s:cell r="C35" t="str">
            <s:v>{добавь свое}</s:v>
          </s:cell>
          <s:cell r="D35" t="str">
            <s:v>R</s:v>
          </s:cell>
          <s:cell r="E35" t="str">
            <s:v>{добавь свое}</s:v>
          </s:cell>
          <s:cell r="G35" t="str">
            <s:v>N/A</s:v>
          </s:cell>
          <s:cell r="I35">
            <s:v>0</s:v>
          </s:cell>
        </s:row>
        <s:row r="36">
          <s:cell r="B36" t="str">
            <s:v>Другое</s:v>
          </s:cell>
          <s:cell r="C36" t="str">
            <s:v>{добавь свое}</s:v>
          </s:cell>
          <s:cell r="D36" t="str">
            <s:v>R</s:v>
          </s:cell>
          <s:cell r="E36" t="str">
            <s:v>{добавь свое}</s:v>
          </s:cell>
          <s:cell r="G36" t="str">
            <s:v>N/A</s:v>
          </s:cell>
          <s:cell r="I36">
            <s:v>0</s:v>
          </s:cell>
        </s:row>
        <s:row r="37">
          <s:cell r="B37" t="str">
            <s:v>Другое</s:v>
          </s:cell>
          <s:cell r="C37" t="str">
            <s:v>{добавь свое}</s:v>
          </s:cell>
          <s:cell r="D37" t="str">
            <s:v>R</s:v>
          </s:cell>
          <s:cell r="E37" t="str">
            <s:v>{добавь свое}</s:v>
          </s:cell>
          <s:cell r="G37" t="str">
            <s:v>N/A</s:v>
          </s:cell>
          <s:cell r="I37">
            <s:v>0</s:v>
          </s:cell>
        </s:row>
        <s:row r="38">
          <s:cell r="B38" t="str">
            <s:v>Другое</s:v>
          </s:cell>
          <s:cell r="C38" t="str">
            <s:v>{добавь свое}</s:v>
          </s:cell>
          <s:cell r="D38" t="str">
            <s:v>R</s:v>
          </s:cell>
          <s:cell r="E38" t="str">
            <s:v>{добавь свое}</s:v>
          </s:cell>
          <s:cell r="G38" t="str">
            <s:v>N/A</s:v>
          </s:cell>
          <s:cell r="I38">
            <s:v>0</s:v>
          </s:cell>
        </s:row>
        <s:row r="39">
          <s:cell r="B39" t="str">
            <s:v>Другое</s:v>
          </s:cell>
          <s:cell r="C39" t="str">
            <s:v>{добавь свое}</s:v>
          </s:cell>
          <s:cell r="D39" t="str">
            <s:v>R</s:v>
          </s:cell>
          <s:cell r="E39" t="str">
            <s:v>{добавь свое}</s:v>
          </s:cell>
          <s:cell r="G39" t="str">
            <s:v>N/A</s:v>
          </s:cell>
          <s:cell r="I39">
            <s:v>0</s:v>
          </s:cell>
        </s:row>
      </s:sheetData>
      <s:sheetData sheetId="3"/>
      <s:sheetData sheetId="4"/>
      <s:sheetData sheetId="5"/>
      <s:sheetData sheetId="6"/>
      <s:sheetData sheetId="7"/>
      <s:sheetData sheetId="8"/>
      <s:sheetData sheetId="9"/>
      <s:sheetData sheetId="10"/>
      <s:sheetData sheetId="11"/>
    </s:sheetDataSet>
  </s:externalBook>
</s:externalLink>
</file>

<file path=xl/theme/theme1.xml><?xml version="1.0" encoding="utf-8"?>
<a:theme xmlns:a="http://schemas.openxmlformats.org/drawingml/2006/main" name="Тема Office">
  <a:themeElements>
    <a:clrScheme name="Бумажная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?>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?>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?>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?>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s:worksheet xmlns:xr="http://schemas.microsoft.com/office/spreadsheetml/2014/revision" xmlns:xr3="http://schemas.microsoft.com/office/spreadsheetml/2016/revision3" xmlns:xr2="http://schemas.microsoft.com/office/spreadsheetml/2015/revision2" xmlns:mc="http://schemas.openxmlformats.org/markup-compatibility/2006" xmlns:s="http://schemas.openxmlformats.org/spreadsheetml/2006/main" xmlns:r="http://schemas.openxmlformats.org/officeDocument/2006/relationships" xmlns:vyd="http://volga.yandex.com/schemas/document/model" xmlns:x14ac="http://schemas.microsoft.com/office/spreadsheetml/2009/9/ac" mc:Ignorable="x14ac xr xr2 xr3" xr:uid="{00000000-0001-0000-0000-000000000000}">
  <s:sheetPr codeName="Sheet2">
    <s:outlinePr summaryBelow="0" summaryRight="0"/>
  </s:sheetPr>
  <s:dimension ref="B1:R75"/>
  <s:sheetViews>
    <s:sheetView tabSelected="0" zoomScale="70" zoomScaleNormal="70" workbookViewId="0">
      <s:selection activeCell="J23" sqref="J23"/>
    </s:sheetView>
  </s:sheetViews>
  <s:sheetFormatPr defaultColWidth="10.109" defaultRowHeight="11.4" outlineLevelRow="1"/>
  <s:cols>
    <s:col min="1" max="1" width="5.109" style="1" customWidth="1"/>
    <s:col min="2" max="2" width="20.332" style="1" customWidth="1"/>
    <s:col min="3" max="3" width="27.777" style="1" customWidth="1"/>
    <s:col min="4" max="4" width="22.109" style="1" customWidth="1"/>
    <s:col min="5" max="5" width="21.777" style="1" customWidth="1"/>
    <s:col min="6" max="6" width="20" style="1" customWidth="1"/>
    <s:col min="7" max="7" width="18.441" style="1" customWidth="1"/>
    <s:col min="8" max="8" width="16.777" style="1" customWidth="1"/>
    <s:col min="9" max="9" width="13.109" style="1" customWidth="1"/>
    <s:col min="10" max="10" width="13.777" style="1" customWidth="1"/>
    <s:col min="11" max="11" width="11.555" style="1" customWidth="1"/>
    <s:col min="12" max="12" width="12.887" style="317" bestFit="1" customWidth="1"/>
    <s:col min="13" max="13" width="9.332" style="321" customWidth="1"/>
    <s:col min="14" max="15" width="9.332" style="312" customWidth="1"/>
    <s:col min="16" max="17" width="9.332" style="1" customWidth="1"/>
    <s:col min="18" max="18" width="9.332" style="326" customWidth="1"/>
    <s:col min="19" max="21" width="9.332" style="1" customWidth="1"/>
    <s:col min="22" max="16384" width="10.109" style="1"/>
  </s:cols>
  <s:sheetData>
    <s:row r="1" ht="15.6">
      <s:c r="C1" s="2" t="s">
        <s:v>0</s:v>
      </s:c>
    </s:row>
    <s:row r="2" spans="2:18" s="3" customFormat="1" ht="14.25" customHeight="1" outlineLevel="1">
      <s:c r="B2" s="1"/>
      <s:c r="C2" s="4" t="s">
        <s:v>1</s:v>
      </s:c>
      <s:c r="D2" s="587"/>
      <s:c r="E2" s="588"/>
      <s:c r="F2" s="5"/>
      <s:c r="H2" s="1"/>
      <s:c r="L2" s="318"/>
      <s:c r="M2" s="322"/>
      <s:c r="N2" s="313"/>
      <s:c r="O2" s="313"/>
      <s:c r="R2" s="327"/>
    </s:row>
    <s:row r="3" spans="2:18" s="3" customFormat="1" ht="14.25" customHeight="1" outlineLevel="1">
      <s:c r="B3" s="1"/>
      <s:c r="C3" s="4" t="s">
        <s:v>2</s:v>
      </s:c>
      <s:c r="D3" s="587" t="s">
        <s:v>374</s:v>
      </s:c>
      <s:c r="E3" s="588"/>
      <s:c r="F3" s="5"/>
      <s:c r="H3" s="1"/>
      <s:c r="L3" s="318"/>
      <s:c r="M3" s="322"/>
      <s:c r="N3" s="313"/>
      <s:c r="O3" s="313"/>
      <s:c r="R3" s="327"/>
    </s:row>
    <s:row r="4" spans="2:18" s="3" customFormat="1" ht="14.25" customHeight="1" outlineLevel="1">
      <s:c r="B4" s="1"/>
      <s:c r="C4" s="4" t="s">
        <s:v>3</s:v>
      </s:c>
      <s:c r="D4" s="587"/>
      <s:c r="E4" s="588"/>
      <s:c r="F4" s="5"/>
      <s:c r="L4" s="318"/>
      <s:c r="M4" s="322"/>
      <s:c r="N4" s="313"/>
      <s:c r="O4" s="313"/>
      <s:c r="R4" s="327"/>
    </s:row>
    <s:row r="5" spans="2:18" s="3" customFormat="1" ht="14.25" customHeight="1" outlineLevel="1">
      <s:c r="B5" s="1"/>
      <s:c r="C5" s="4" t="s">
        <s:v>4</s:v>
      </s:c>
      <s:c r="D5" s="586" t="s">
        <s:v>372</s:v>
      </s:c>
      <s:c r="E5" s="586"/>
      <s:c r="F5" s="5"/>
      <s:c r="L5" s="318"/>
      <s:c r="M5" s="322"/>
      <s:c r="N5" s="313"/>
      <s:c r="O5" s="313"/>
      <s:c r="R5" s="327"/>
    </s:row>
    <s:row r="6" spans="2:18" s="3" customFormat="1" ht="14.25" customHeight="1" outlineLevel="1">
      <s:c r="B6" s="1"/>
      <s:c r="C6" s="4" t="s">
        <s:v>5</s:v>
      </s:c>
      <s:c r="D6" s="585"/>
      <s:c r="E6" s="586"/>
      <s:c r="F6" s="5"/>
      <s:c r="L6" s="318"/>
      <s:c r="M6" s="322"/>
      <s:c r="N6" s="313"/>
      <s:c r="O6" s="313"/>
      <s:c r="R6" s="327"/>
    </s:row>
    <s:row r="7" spans="2:18" s="3" customFormat="1" ht="14.25" customHeight="1" outlineLevel="1">
      <s:c r="B7" s="1"/>
      <s:c r="C7" s="4" t="s">
        <s:v>6</s:v>
      </s:c>
      <s:c r="D7" s="585" t="s">
        <s:v>373</s:v>
      </s:c>
      <s:c r="E7" s="586"/>
      <s:c r="F7" s="5"/>
      <s:c r="L7" s="318"/>
      <s:c r="M7" s="322"/>
      <s:c r="N7" s="313"/>
      <s:c r="O7" s="313"/>
      <s:c r="R7" s="327"/>
    </s:row>
    <s:row r="8" spans="2:18" s="3" customFormat="1" ht="13.2">
      <s:c r="B8" s="1"/>
      <s:c r="C8" s="6"/>
      <s:c r="D8" s="6"/>
      <s:c r="E8" s="6"/>
      <s:c r="F8" s="6"/>
      <s:c r="G8" s="6"/>
      <s:c r="H8" s="6"/>
      <s:c r="I8" s="5"/>
      <s:c r="L8" s="318"/>
      <s:c r="M8" s="322"/>
      <s:c r="N8" s="313"/>
      <s:c r="O8" s="313"/>
      <s:c r="R8" s="327"/>
    </s:row>
    <s:row r="9" ht="16.2">
      <s:c r="C9" s="2" t="s">
        <s:v>7</s:v>
      </s:c>
      <s:c r="D9" s="7"/>
      <s:c r="E9" s="7"/>
      <s:c r="F9" s="7"/>
      <s:c r="G9" s="7"/>
      <s:c r="H9" s="7"/>
      <s:c r="I9" s="7"/>
      <s:c r="K9" s="8"/>
      <s:c r="L9" s="319"/>
      <s:c r="M9" s="323"/>
      <s:c r="N9" s="314"/>
      <s:c r="O9" s="314"/>
      <s:c r="P9" s="8"/>
      <s:c r="Q9" s="8"/>
      <s:c r="R9" s="328"/>
    </s:row>
    <s:row r="10" ht="39.6">
      <s:c r="B10" s="307" t="s">
        <s:v>164</s:v>
      </s:c>
      <s:c r="C10" s="280" t="s">
        <s:v>8</s:v>
      </s:c>
      <s:c r="D10" s="304" t="s">
        <s:v>9</s:v>
      </s:c>
      <s:c r="E10" s="279" t="s">
        <s:v>10</s:v>
      </s:c>
      <s:c r="F10" s="279" t="s">
        <s:v>11</s:v>
      </s:c>
      <s:c r="G10" s="280" t="s">
        <s:v>12</s:v>
      </s:c>
      <s:c r="H10" s="9" t="s">
        <s:v>13</s:v>
      </s:c>
      <s:c r="I10" s="9" t="s">
        <s:v>14</s:v>
      </s:c>
      <s:c r="J10" s="7"/>
      <s:c r="K10" s="7"/>
      <s:c r="L10" s="7"/>
      <s:c r="M10" s="7"/>
      <s:c r="N10" s="7"/>
      <s:c r="O10" s="7"/>
      <s:c r="P10" s="7"/>
      <s:c r="Q10" s="7"/>
      <s:c r="R10" s="7"/>
    </s:row>
    <s:row r="11" spans="2:18" ht="24.75" customHeight="1" outlineLevel="1">
      <s:c r="B11" s="310" t="s">
        <s:v>158</s:v>
      </s:c>
      <s:c r="C11" s="308" t="s">
        <s:v>157</s:v>
      </s:c>
      <s:c r="D11" s="305">
        <s:v>39120</s:v>
      </s:c>
      <s:c r="E11" s="10">
        <s:v>60240</s:v>
      </s:c>
      <s:c r="F11" s="10">
        <s:v>70080</s:v>
      </s:c>
      <s:c r="G11" s="281">
        <s:v>70080</s:v>
      </s:c>
      <s:c r="H11" s="11">
        <s:v>0</s:v>
      </s:c>
      <s:c r="I11" s="11">
        <s:v>0</s:v>
      </s:c>
      <s:c r="J11" s="7"/>
      <s:c r="K11" s="7"/>
      <s:c r="L11" s="7"/>
      <s:c r="M11" s="7"/>
      <s:c r="N11" s="7"/>
      <s:c r="O11" s="330"/>
      <s:c r="P11" s="7"/>
      <s:c r="Q11" s="7"/>
      <s:c r="R11" s="7"/>
    </s:row>
    <s:row r="12" spans="2:18" ht="24.75" customHeight="1" outlineLevel="1">
      <s:c r="B12" s="310" t="s">
        <s:v>159</s:v>
      </s:c>
      <s:c r="C12" s="308" t="s">
        <s:v>148</s:v>
      </s:c>
      <s:c r="D12" s="305">
        <s:v>34039</s:v>
      </s:c>
      <s:c r="E12" s="10">
        <s:v>51120</s:v>
      </s:c>
      <s:c r="F12" s="10">
        <s:v>53040</s:v>
      </s:c>
      <s:c r="G12" s="281">
        <s:v>53040</s:v>
      </s:c>
      <s:c r="I12" s="303"/>
      <s:c r="J12" s="7"/>
      <s:c r="K12" s="7"/>
      <s:c r="L12" s="7"/>
      <s:c r="M12" s="7"/>
      <s:c r="N12" s="7"/>
      <s:c r="O12" s="330"/>
      <s:c r="P12" s="7"/>
      <s:c r="Q12" s="7"/>
      <s:c r="R12" s="7"/>
    </s:row>
    <s:row r="13" spans="2:18" ht="24" customHeight="1" outlineLevel="1">
      <s:c r="B13" s="310" t="s">
        <s:v>160</s:v>
      </s:c>
      <s:c r="C13" s="308" t="s">
        <s:v>149</s:v>
      </s:c>
      <s:c r="D13" s="305">
        <s:v>30017</s:v>
      </s:c>
      <s:c r="E13" s="10">
        <s:v>41760</s:v>
      </s:c>
      <s:c r="F13" s="10">
        <s:v>41760</s:v>
      </s:c>
      <s:c r="G13" s="281">
        <s:v>41760</s:v>
      </s:c>
      <s:c r="J13" s="7"/>
      <s:c r="K13" s="7"/>
      <s:c r="L13" s="7"/>
      <s:c r="M13" s="7"/>
      <s:c r="N13" s="7"/>
      <s:c r="O13" s="330"/>
      <s:c r="P13" s="7"/>
      <s:c r="Q13" s="7"/>
      <s:c r="R13" s="7"/>
    </s:row>
    <s:row r="14" spans="2:18" ht="24" customHeight="1" outlineLevel="1">
      <s:c r="B14" s="310" t="s">
        <s:v>161</s:v>
      </s:c>
      <s:c r="C14" s="308" t="s">
        <s:v>150</s:v>
      </s:c>
      <s:c r="D14" s="305">
        <s:v>22711</s:v>
      </s:c>
      <s:c r="E14" s="10">
        <s:v>31280</s:v>
      </s:c>
      <s:c r="F14" s="10">
        <s:v>31280</s:v>
      </s:c>
      <s:c r="G14" s="281">
        <s:v>31280</s:v>
      </s:c>
      <s:c r="J14" s="7"/>
      <s:c r="K14" s="7"/>
      <s:c r="L14" s="7"/>
      <s:c r="M14" s="7"/>
      <s:c r="N14" s="7"/>
      <s:c r="O14" s="330"/>
      <s:c r="P14" s="7"/>
      <s:c r="Q14" s="7"/>
      <s:c r="R14" s="7"/>
    </s:row>
    <s:row r="15" spans="2:18" ht="24" customHeight="1" outlineLevel="1">
      <s:c r="B15" s="310" t="s">
        <s:v>162</s:v>
      </s:c>
      <s:c r="C15" s="308" t="s">
        <s:v>151</s:v>
      </s:c>
      <s:c r="D15" s="305">
        <s:v>17589</s:v>
      </s:c>
      <s:c r="E15" s="10">
        <s:v>23120</s:v>
      </s:c>
      <s:c r="F15" s="10">
        <s:v>23120</s:v>
      </s:c>
      <s:c r="G15" s="281">
        <s:v>23120</s:v>
      </s:c>
      <s:c r="J15" s="7"/>
      <s:c r="K15" s="7"/>
      <s:c r="L15" s="7"/>
      <s:c r="M15" s="7"/>
      <s:c r="N15" s="7"/>
      <s:c r="O15" s="330"/>
      <s:c r="P15" s="7"/>
      <s:c r="Q15" s="7"/>
      <s:c r="R15" s="7"/>
    </s:row>
    <s:row r="16" spans="2:18" ht="24" customHeight="1" outlineLevel="1" thickBot="1">
      <s:c r="B16" s="311" t="s">
        <s:v>163</s:v>
      </s:c>
      <s:c r="C16" s="309" t="s">
        <s:v>152</s:v>
      </s:c>
      <s:c r="D16" s="306">
        <s:v>11280</s:v>
      </s:c>
      <s:c r="E16" s="278">
        <s:v>14480</s:v>
      </s:c>
      <s:c r="F16" s="278">
        <s:v>14480</s:v>
      </s:c>
      <s:c r="G16" s="298">
        <s:v>14480</s:v>
      </s:c>
      <s:c r="J16" s="7"/>
      <s:c r="K16" s="7"/>
      <s:c r="L16" s="7"/>
      <s:c r="M16" s="7"/>
      <s:c r="N16" s="7"/>
      <s:c r="O16" s="330"/>
      <s:c r="P16" s="7"/>
      <s:c r="Q16" s="7"/>
      <s:c r="R16" s="7"/>
    </s:row>
    <s:row r="17" spans="2:18" ht="25.5" customHeight="1">
      <s:c r="J17" s="12"/>
      <s:c r="K17" s="12"/>
      <s:c r="M17" s="324"/>
      <s:c r="N17" s="315"/>
      <s:c r="O17" s="315"/>
      <s:c r="P17" s="12"/>
      <s:c r="Q17" s="12"/>
    </s:row>
    <s:row r="18" spans="2:18" ht="25.5" customHeight="1">
      <s:c r="J18" s="12"/>
      <s:c r="K18" s="13"/>
    </s:row>
    <s:row r="19" spans="2:18" ht="25.5" customHeight="1">
      <s:c r="J19" s="12"/>
      <s:c r="K19" s="13"/>
      <s:c r="Q19" s="14"/>
    </s:row>
    <s:row r="20" ht="15.6">
      <s:c r="C20" s="2" t="s">
        <s:v>15</s:v>
      </s:c>
      <s:c r="D20" s="7"/>
      <s:c r="E20" s="7"/>
      <s:c r="F20" s="7"/>
      <s:c r="G20" s="7"/>
      <s:c r="H20" s="7"/>
      <s:c r="I20" s="7"/>
      <s:c r="K20" s="8"/>
      <s:c r="L20" s="319"/>
      <s:c r="M20" s="323"/>
      <s:c r="N20" s="314"/>
      <s:c r="O20" s="314"/>
      <s:c r="P20" s="8"/>
      <s:c r="Q20" s="8"/>
      <s:c r="R20" s="328"/>
    </s:row>
    <s:row r="21" spans="2:18" s="15" customFormat="1" ht="20.4" outlineLevel="1">
      <s:c r="B21" s="16" t="s">
        <s:v>122</s:v>
      </s:c>
      <s:c r="C21" s="16" t="s">
        <s:v>16</s:v>
      </s:c>
      <s:c r="D21" s="16" t="s">
        <s:v>17</s:v>
      </s:c>
      <s:c r="E21" s="16" t="s">
        <s:v>8</s:v>
      </s:c>
      <s:c r="F21" s="16" t="s">
        <s:v>18</s:v>
      </s:c>
      <s:c r="G21" s="16" t="s">
        <s:v>19</s:v>
      </s:c>
      <s:c r="H21" s="16" t="s">
        <s:v>20</s:v>
      </s:c>
      <s:c r="J21" s="21"/>
      <s:c r="L21" s="320"/>
      <s:c r="M21" s="325"/>
      <s:c r="N21" s="316"/>
      <s:c r="O21" s="316"/>
      <s:c r="R21" s="329"/>
    </s:row>
    <s:row r="22" spans="2:18" s="15" customFormat="1" outlineLevel="1">
      <s:c r="B22" s="17"/>
      <s:c r="C22" s="17"/>
      <s:c r="D22" s="17"/>
      <s:c r="E22" s="18"/>
      <s:c r="F22" s="10">
        <s:f>IFERROR(VLOOKUP(E22,$C$11:$F$16,2,FALSE)*(1-$I$11),0)</s:f>
        <s:v>0</s:v>
      </s:c>
      <s:c r="G22" s="10">
        <s:f>IFERROR(VLOOKUP(E22,$C$11:$G$16,5,FALSE)*(1-$H$11),0)</s:f>
        <s:v>0</s:v>
      </s:c>
      <s:c r="H22" s="19">
        <s:f>IF(G22&gt;0,G22/F22-1,0)</s:f>
        <s:v>0</s:v>
      </s:c>
      <s:c r="J22" s="20"/>
      <s:c r="L22" s="320"/>
      <s:c r="M22" s="325"/>
      <s:c r="N22" s="316"/>
      <s:c r="O22" s="316"/>
      <s:c r="Q22" s="20"/>
      <s:c r="R22" s="329"/>
    </s:row>
    <s:row r="23" spans="2:18" s="15" customFormat="1" outlineLevel="1">
      <s:c r="B23" s="17"/>
      <s:c r="C23" s="17"/>
      <s:c r="D23" s="17"/>
      <s:c r="E23" s="18"/>
      <s:c r="F23" s="10">
        <s:f>IFERROR(VLOOKUP(E23,$C$11:$F$16,2,FALSE)*(1-$I$11),0)</s:f>
        <s:v>0</s:v>
      </s:c>
      <s:c r="G23" s="10">
        <s:f>IFERROR(VLOOKUP(E23,$C$11:$G$16,5,FALSE)*(1-$H$11),0)</s:f>
        <s:v>0</s:v>
      </s:c>
      <s:c r="H23" s="19">
        <s:f>IF(G23&gt;0,G23/F23-1,0)</s:f>
        <s:v>0</s:v>
      </s:c>
      <s:c r="J23" s="20"/>
      <s:c r="L23" s="320"/>
      <s:c r="M23" s="325"/>
      <s:c r="N23" s="316"/>
      <s:c r="O23" s="316"/>
      <s:c r="Q23" s="20"/>
      <s:c r="R23" s="329"/>
    </s:row>
    <s:row r="24" spans="2:18" s="15" customFormat="1" outlineLevel="1">
      <s:c r="B24" s="17"/>
      <s:c r="C24" s="17"/>
      <s:c r="D24" s="17"/>
      <s:c r="E24" s="18"/>
      <s:c r="F24" s="10">
        <s:f>IFERROR(VLOOKUP(E24,$C$11:$F$16,2,FALSE)*(1-$I$11),0)</s:f>
        <s:v>0</s:v>
      </s:c>
      <s:c r="G24" s="10">
        <s:f>IFERROR(VLOOKUP(E24,$C$11:$G$16,5,FALSE)*(1-$H$11),0)</s:f>
        <s:v>0</s:v>
      </s:c>
      <s:c r="H24" s="19">
        <s:f>IF(G24&gt;0,G24/F24-1,0)</s:f>
        <s:v>0</s:v>
      </s:c>
      <s:c r="J24" s="20"/>
      <s:c r="L24" s="320"/>
      <s:c r="M24" s="325"/>
      <s:c r="N24" s="316"/>
      <s:c r="O24" s="316"/>
      <s:c r="Q24" s="20"/>
      <s:c r="R24" s="329"/>
    </s:row>
    <s:row r="25" spans="2:18" s="15" customFormat="1" outlineLevel="1">
      <s:c r="B25" s="17"/>
      <s:c r="C25" s="17"/>
      <s:c r="D25" s="17"/>
      <s:c r="E25" s="18"/>
      <s:c r="F25" s="10">
        <s:f>IFERROR(VLOOKUP(E25,$C$11:$F$16,2,FALSE)*(1-$I$11),0)</s:f>
        <s:v>0</s:v>
      </s:c>
      <s:c r="G25" s="10">
        <s:f>IFERROR(VLOOKUP(E25,$C$11:$G$16,5,FALSE)*(1-$H$11),0)</s:f>
        <s:v>0</s:v>
      </s:c>
      <s:c r="H25" s="19">
        <s:f>IF(G25&gt;0,G25/F25-1,0)</s:f>
        <s:v>0</s:v>
      </s:c>
      <s:c r="J25" s="20"/>
      <s:c r="L25" s="320"/>
      <s:c r="M25" s="325"/>
      <s:c r="N25" s="316"/>
      <s:c r="O25" s="316"/>
      <s:c r="Q25" s="20"/>
      <s:c r="R25" s="329"/>
    </s:row>
    <s:row r="26" spans="2:18" s="15" customFormat="1" outlineLevel="1">
      <s:c r="B26" s="17"/>
      <s:c r="C26" s="17"/>
      <s:c r="D26" s="17"/>
      <s:c r="E26" s="18"/>
      <s:c r="F26" s="10">
        <s:f>IFERROR(VLOOKUP(E26,$C$11:$F$16,2,FALSE)*(1-$I$11),0)</s:f>
        <s:v>0</s:v>
      </s:c>
      <s:c r="G26" s="10">
        <s:f>IFERROR(VLOOKUP(E26,$C$11:$G$16,5,FALSE)*(1-$H$11),0)</s:f>
        <s:v>0</s:v>
      </s:c>
      <s:c r="H26" s="19">
        <s:f>IF(G26&gt;0,G26/F26-1,0)</s:f>
        <s:v>0</s:v>
      </s:c>
      <s:c r="J26" s="20"/>
      <s:c r="L26" s="320"/>
      <s:c r="M26" s="325"/>
      <s:c r="N26" s="316"/>
      <s:c r="O26" s="316"/>
      <s:c r="Q26" s="20"/>
      <s:c r="R26" s="329"/>
    </s:row>
    <s:row r="27" spans="2:18" s="15" customFormat="1" outlineLevel="1">
      <s:c r="B27" s="17"/>
      <s:c r="C27" s="17"/>
      <s:c r="D27" s="17"/>
      <s:c r="E27" s="18"/>
      <s:c r="F27" s="10">
        <s:f>IFERROR(VLOOKUP(E27,$C$11:$F$16,2,FALSE)*(1-$I$11),0)</s:f>
        <s:v>0</s:v>
      </s:c>
      <s:c r="G27" s="10">
        <s:f>IFERROR(VLOOKUP(E27,$C$11:$G$16,5,FALSE)*(1-$H$11),0)</s:f>
        <s:v>0</s:v>
      </s:c>
      <s:c r="H27" s="19">
        <s:f>IF(G27&gt;0,G27/F27-1,0)</s:f>
        <s:v>0</s:v>
      </s:c>
      <s:c r="J27" s="20"/>
      <s:c r="L27" s="320"/>
      <s:c r="M27" s="325"/>
      <s:c r="N27" s="316"/>
      <s:c r="O27" s="316"/>
      <s:c r="Q27" s="20"/>
      <s:c r="R27" s="329"/>
    </s:row>
    <s:row r="28" spans="2:18" s="15" customFormat="1" outlineLevel="1">
      <s:c r="B28" s="17"/>
      <s:c r="C28" s="17"/>
      <s:c r="D28" s="17"/>
      <s:c r="E28" s="18"/>
      <s:c r="F28" s="10">
        <s:f>IFERROR(VLOOKUP(E28,$C$11:$F$16,2,FALSE)*(1-$I$11),0)</s:f>
        <s:v>0</s:v>
      </s:c>
      <s:c r="G28" s="10">
        <s:f>IFERROR(VLOOKUP(E28,$C$11:$G$16,5,FALSE)*(1-$H$11),0)</s:f>
        <s:v>0</s:v>
      </s:c>
      <s:c r="H28" s="19">
        <s:f>IF(G28&gt;0,G28/F28-1,0)</s:f>
        <s:v>0</s:v>
      </s:c>
      <s:c r="J28" s="20"/>
      <s:c r="L28" s="320"/>
      <s:c r="M28" s="325"/>
      <s:c r="N28" s="316"/>
      <s:c r="O28" s="316"/>
      <s:c r="Q28" s="20"/>
      <s:c r="R28" s="329"/>
    </s:row>
    <s:row r="29" spans="2:18" s="15" customFormat="1" outlineLevel="1">
      <s:c r="B29" s="17"/>
      <s:c r="C29" s="17"/>
      <s:c r="D29" s="17"/>
      <s:c r="E29" s="18"/>
      <s:c r="F29" s="10">
        <s:f>IFERROR(VLOOKUP(E29,$C$11:$F$16,2,FALSE)*(1-$I$11),0)</s:f>
        <s:v>0</s:v>
      </s:c>
      <s:c r="G29" s="10">
        <s:f>IFERROR(VLOOKUP(E29,$C$11:$G$16,5,FALSE)*(1-$H$11),0)</s:f>
        <s:v>0</s:v>
      </s:c>
      <s:c r="H29" s="19">
        <s:f>IF(G29&gt;0,G29/F29-1,0)</s:f>
        <s:v>0</s:v>
      </s:c>
      <s:c r="J29" s="20"/>
      <s:c r="L29" s="320"/>
      <s:c r="M29" s="325"/>
      <s:c r="N29" s="316"/>
      <s:c r="O29" s="316"/>
      <s:c r="Q29" s="20"/>
      <s:c r="R29" s="329"/>
    </s:row>
    <s:row r="30" spans="2:18" s="15" customFormat="1" outlineLevel="1">
      <s:c r="B30" s="17"/>
      <s:c r="C30" s="17"/>
      <s:c r="D30" s="17"/>
      <s:c r="E30" s="18"/>
      <s:c r="F30" s="10">
        <s:f>IFERROR(VLOOKUP(E30,$C$11:$F$16,2,FALSE)*(1-$I$11),0)</s:f>
        <s:v>0</s:v>
      </s:c>
      <s:c r="G30" s="10">
        <s:f>IFERROR(VLOOKUP(E30,$C$11:$G$16,5,FALSE)*(1-$H$11),0)</s:f>
        <s:v>0</s:v>
      </s:c>
      <s:c r="H30" s="19">
        <s:f>IF(G30&gt;0,G30/F30-1,0)</s:f>
        <s:v>0</s:v>
      </s:c>
      <s:c r="J30" s="20"/>
      <s:c r="L30" s="320"/>
      <s:c r="M30" s="325"/>
      <s:c r="N30" s="316"/>
      <s:c r="O30" s="316"/>
      <s:c r="Q30" s="20"/>
      <s:c r="R30" s="329"/>
    </s:row>
    <s:row r="31" spans="2:18" s="15" customFormat="1" outlineLevel="1">
      <s:c r="B31" s="17"/>
      <s:c r="C31" s="17"/>
      <s:c r="D31" s="17"/>
      <s:c r="E31" s="18"/>
      <s:c r="F31" s="10">
        <s:f>IFERROR(VLOOKUP(E31,$C$11:$F$16,2,FALSE)*(1-$I$11),0)</s:f>
        <s:v>0</s:v>
      </s:c>
      <s:c r="G31" s="10">
        <s:f>IFERROR(VLOOKUP(E31,$C$11:$G$16,5,FALSE)*(1-$H$11),0)</s:f>
        <s:v>0</s:v>
      </s:c>
      <s:c r="H31" s="19">
        <s:f>IF(G31&gt;0,G31/F31-1,0)</s:f>
        <s:v>0</s:v>
      </s:c>
      <s:c r="J31" s="20"/>
      <s:c r="L31" s="320"/>
      <s:c r="M31" s="325"/>
      <s:c r="N31" s="316"/>
      <s:c r="O31" s="316"/>
      <s:c r="Q31" s="20"/>
      <s:c r="R31" s="329"/>
    </s:row>
    <s:row r="32" spans="2:18" s="15" customFormat="1" outlineLevel="1">
      <s:c r="B32" s="17"/>
      <s:c r="C32" s="17"/>
      <s:c r="D32" s="17"/>
      <s:c r="E32" s="18"/>
      <s:c r="F32" s="10">
        <s:f>IFERROR(VLOOKUP(E32,$C$11:$F$16,2,FALSE)*(1-$I$11),0)</s:f>
        <s:v>0</s:v>
      </s:c>
      <s:c r="G32" s="10">
        <s:f>IFERROR(VLOOKUP(E32,$C$11:$G$16,5,FALSE)*(1-$H$11),0)</s:f>
        <s:v>0</s:v>
      </s:c>
      <s:c r="H32" s="19">
        <s:f>IF(G32&gt;0,G32/F32-1,0)</s:f>
        <s:v>0</s:v>
      </s:c>
      <s:c r="J32" s="20"/>
      <s:c r="L32" s="320"/>
      <s:c r="M32" s="325"/>
      <s:c r="N32" s="316"/>
      <s:c r="O32" s="316"/>
      <s:c r="Q32" s="20"/>
      <s:c r="R32" s="329"/>
    </s:row>
    <s:row r="33" spans="2:18" s="15" customFormat="1" outlineLevel="1">
      <s:c r="B33" s="17"/>
      <s:c r="C33" s="17"/>
      <s:c r="D33" s="17"/>
      <s:c r="E33" s="18"/>
      <s:c r="F33" s="10">
        <s:f>IFERROR(VLOOKUP(E33,$C$11:$F$16,2,FALSE)*(1-$I$11),0)</s:f>
        <s:v>0</s:v>
      </s:c>
      <s:c r="G33" s="10">
        <s:f>IFERROR(VLOOKUP(E33,$C$11:$G$16,5,FALSE)*(1-$H$11),0)</s:f>
        <s:v>0</s:v>
      </s:c>
      <s:c r="H33" s="19">
        <s:f>IF(G33&gt;0,G33/F33-1,0)</s:f>
        <s:v>0</s:v>
      </s:c>
      <s:c r="J33" s="20"/>
      <s:c r="L33" s="320"/>
      <s:c r="M33" s="325"/>
      <s:c r="N33" s="316"/>
      <s:c r="O33" s="316"/>
      <s:c r="Q33" s="20"/>
      <s:c r="R33" s="329"/>
    </s:row>
    <s:row r="34">
      <s:c r="C34" s="7"/>
      <s:c r="D34" s="7"/>
      <s:c r="E34" s="7"/>
      <s:c r="F34" s="7"/>
      <s:c r="G34" s="7"/>
      <s:c r="H34" s="7"/>
      <s:c r="I34" s="7"/>
      <s:c r="K34" s="8"/>
      <s:c r="L34" s="319"/>
      <s:c r="M34" s="323"/>
      <s:c r="N34" s="314"/>
      <s:c r="O34" s="314"/>
      <s:c r="P34" s="8"/>
      <s:c r="Q34" s="8"/>
      <s:c r="R34" s="328"/>
    </s:row>
    <s:row r="35" ht="15.6">
      <s:c r="C35" s="2" t="s">
        <s:v>21</s:v>
      </s:c>
      <s:c r="D35" s="7"/>
      <s:c r="E35" s="7"/>
      <s:c r="F35" s="7"/>
      <s:c r="G35" s="7"/>
      <s:c r="H35" s="7"/>
      <s:c r="I35" s="7"/>
      <s:c r="K35" s="8"/>
      <s:c r="L35" s="319"/>
      <s:c r="M35" s="323"/>
      <s:c r="N35" s="314"/>
      <s:c r="O35" s="314"/>
      <s:c r="P35" s="8"/>
      <s:c r="Q35" s="8"/>
      <s:c r="R35" s="328"/>
    </s:row>
    <s:row r="36" spans="2:18" s="15" customFormat="1" ht="20.4" outlineLevel="1">
      <s:c r="B36" s="16" t="s">
        <s:v>122</s:v>
      </s:c>
      <s:c r="C36" s="16" t="s">
        <s:v>22</s:v>
      </s:c>
      <s:c r="D36" s="16" t="s">
        <s:v>23</s:v>
      </s:c>
      <s:c r="E36" s="16" t="s">
        <s:v>24</s:v>
      </s:c>
      <s:c r="F36" s="16" t="s">
        <s:v>20</s:v>
      </s:c>
      <s:c r="G36" s="21"/>
      <s:c r="H36" s="22"/>
      <s:c r="I36" s="22"/>
      <s:c r="L36" s="320"/>
      <s:c r="M36" s="325"/>
      <s:c r="N36" s="316"/>
      <s:c r="O36" s="316"/>
      <s:c r="R36" s="329"/>
    </s:row>
    <s:row r="37" spans="2:18" s="15" customFormat="1" outlineLevel="1">
      <s:c r="B37" s="17"/>
      <s:c r="C37" s="17"/>
      <s:c r="D37" s="23"/>
      <s:c r="E37" s="23"/>
      <s:c r="F37" s="19" t="str">
        <s:f>IF(ISNUMBER(E37),E37/D37-1,"")</s:f>
        <s:v/>
      </s:c>
      <s:c r="G37" s="24"/>
      <s:c r="H37" s="22"/>
      <s:c r="I37" s="22"/>
      <s:c r="L37" s="320"/>
      <s:c r="M37" s="325"/>
      <s:c r="N37" s="316"/>
      <s:c r="O37" s="316"/>
      <s:c r="R37" s="329"/>
    </s:row>
    <s:row r="38" spans="2:18" s="15" customFormat="1" outlineLevel="1">
      <s:c r="B38" s="17"/>
      <s:c r="C38" s="17"/>
      <s:c r="D38" s="23"/>
      <s:c r="E38" s="23"/>
      <s:c r="F38" s="19" t="str">
        <s:f>IF(ISNUMBER(E38),E38/D38-1,"")</s:f>
        <s:v/>
      </s:c>
      <s:c r="G38" s="24"/>
      <s:c r="H38" s="22"/>
      <s:c r="I38" s="22"/>
      <s:c r="L38" s="320"/>
      <s:c r="M38" s="325"/>
      <s:c r="N38" s="316"/>
      <s:c r="O38" s="316"/>
      <s:c r="R38" s="329"/>
    </s:row>
    <s:row r="39" spans="2:18" s="15" customFormat="1" outlineLevel="1">
      <s:c r="B39" s="17"/>
      <s:c r="C39" s="17"/>
      <s:c r="D39" s="23"/>
      <s:c r="E39" s="23"/>
      <s:c r="F39" s="19" t="str">
        <s:f>IF(ISNUMBER(E39),E39/D39-1,"")</s:f>
        <s:v/>
      </s:c>
      <s:c r="G39" s="24"/>
      <s:c r="H39" s="22"/>
      <s:c r="I39" s="22"/>
      <s:c r="L39" s="320"/>
      <s:c r="M39" s="325"/>
      <s:c r="N39" s="316"/>
      <s:c r="O39" s="316"/>
      <s:c r="R39" s="329"/>
    </s:row>
    <s:row r="40" spans="2:18" s="15" customFormat="1" outlineLevel="1">
      <s:c r="B40" s="17"/>
      <s:c r="C40" s="25"/>
      <s:c r="D40" s="23"/>
      <s:c r="E40" s="23"/>
      <s:c r="F40" s="19" t="str">
        <s:f>IF(ISNUMBER(E40),E40/D40-1,"")</s:f>
        <s:v/>
      </s:c>
      <s:c r="G40" s="24"/>
      <s:c r="H40" s="26"/>
      <s:c r="I40" s="22"/>
      <s:c r="L40" s="320"/>
      <s:c r="M40" s="325"/>
      <s:c r="N40" s="316"/>
      <s:c r="O40" s="316"/>
      <s:c r="R40" s="329"/>
    </s:row>
    <s:row r="41">
      <s:c r="C41" s="27"/>
      <s:c r="D41" s="27"/>
      <s:c r="E41" s="27"/>
      <s:c r="F41" s="27"/>
      <s:c r="G41" s="27"/>
      <s:c r="H41" s="27"/>
      <s:c r="I41" s="27"/>
      <s:c r="J41" s="8"/>
      <s:c r="K41" s="8"/>
      <s:c r="L41" s="319"/>
      <s:c r="M41" s="323"/>
      <s:c r="N41" s="314"/>
      <s:c r="O41" s="314"/>
      <s:c r="P41" s="8"/>
      <s:c r="Q41" s="8"/>
      <s:c r="R41" s="328"/>
    </s:row>
    <s:row r="42" ht="15.6">
      <s:c r="C42" s="2" t="s">
        <s:v>25</s:v>
      </s:c>
      <s:c r="D42" s="7"/>
      <s:c r="E42" s="7"/>
      <s:c r="F42" s="7"/>
      <s:c r="G42" s="7"/>
      <s:c r="H42" s="7"/>
      <s:c r="I42" s="7"/>
      <s:c r="K42" s="8"/>
      <s:c r="L42" s="319"/>
      <s:c r="M42" s="323"/>
      <s:c r="N42" s="314"/>
      <s:c r="O42" s="314"/>
      <s:c r="P42" s="8"/>
      <s:c r="Q42" s="8"/>
      <s:c r="R42" s="328"/>
    </s:row>
    <s:row r="43" spans="2:18" s="15" customFormat="1" ht="37.5" customHeight="1" outlineLevel="1">
      <s:c r="B43" s="16" t="s">
        <s:v>122</s:v>
      </s:c>
      <s:c r="C43" s="16" t="s">
        <s:v>26</s:v>
      </s:c>
      <s:c r="D43" s="16" t="s">
        <s:v>23</s:v>
      </s:c>
      <s:c r="E43" s="16" t="s">
        <s:v>24</s:v>
      </s:c>
      <s:c r="F43" s="16" t="s">
        <s:v>20</s:v>
      </s:c>
      <s:c r="G43" s="21"/>
      <s:c r="H43" s="22"/>
      <s:c r="I43" s="22"/>
      <s:c r="L43" s="320"/>
      <s:c r="M43" s="325"/>
      <s:c r="N43" s="316"/>
      <s:c r="O43" s="316"/>
      <s:c r="R43" s="329"/>
    </s:row>
    <s:row r="44" spans="2:18" s="15" customFormat="1" outlineLevel="1">
      <s:c r="B44" s="17"/>
      <s:c r="C44" s="17"/>
      <s:c r="D44" s="23"/>
      <s:c r="E44" s="23"/>
      <s:c r="F44" s="19" t="str">
        <s:f>IF(ISNUMBER(E44),E44/D44-1,"")</s:f>
        <s:v/>
      </s:c>
      <s:c r="G44" s="24"/>
      <s:c r="H44" s="22"/>
      <s:c r="I44" s="22"/>
      <s:c r="L44" s="320"/>
      <s:c r="M44" s="325"/>
      <s:c r="N44" s="316"/>
      <s:c r="O44" s="316"/>
      <s:c r="R44" s="329"/>
    </s:row>
    <s:row r="45" spans="2:18" s="15" customFormat="1" outlineLevel="1">
      <s:c r="B45" s="17"/>
      <s:c r="C45" s="17"/>
      <s:c r="D45" s="23"/>
      <s:c r="E45" s="23"/>
      <s:c r="F45" s="19" t="str">
        <s:f>IF(ISNUMBER(E45),E45/D45-1,"")</s:f>
        <s:v/>
      </s:c>
      <s:c r="G45" s="24"/>
      <s:c r="H45" s="22"/>
      <s:c r="I45" s="22"/>
      <s:c r="L45" s="320"/>
      <s:c r="M45" s="325"/>
      <s:c r="N45" s="316"/>
      <s:c r="O45" s="316"/>
      <s:c r="R45" s="329"/>
    </s:row>
    <s:row r="46" spans="2:18" s="15" customFormat="1" outlineLevel="1">
      <s:c r="B46" s="17"/>
      <s:c r="C46" s="17"/>
      <s:c r="D46" s="23"/>
      <s:c r="E46" s="23"/>
      <s:c r="F46" s="19" t="str">
        <s:f>IF(ISNUMBER(E46),E46/D46-1,"")</s:f>
        <s:v/>
      </s:c>
      <s:c r="G46" s="24"/>
      <s:c r="H46" s="26"/>
      <s:c r="I46" s="22"/>
      <s:c r="L46" s="320"/>
      <s:c r="M46" s="325"/>
      <s:c r="N46" s="316"/>
      <s:c r="O46" s="316"/>
      <s:c r="R46" s="329"/>
    </s:row>
    <s:row r="47">
      <s:c r="B47" s="17"/>
      <s:c r="C47" s="25"/>
      <s:c r="D47" s="23"/>
      <s:c r="E47" s="23"/>
      <s:c r="F47" s="19" t="str">
        <s:f>IF(ISNUMBER(E47),E47/D47-1,"")</s:f>
        <s:v/>
      </s:c>
    </s:row>
    <s:row r="51" spans="2:12" ht="12" thickBot="1"/>
    <s:row r="52" ht="13.8">
      <s:c r="B52" s="549" t="s">
        <s:v>358</s:v>
      </s:c>
      <s:c r="C52" s="550"/>
      <s:c r="D52" s="551"/>
      <s:c r="E52" s="550" t="s">
        <s:v>359</s:v>
      </s:c>
      <s:c r="F52" s="552"/>
      <s:c r="G52"/>
      <s:c r="H52" s="549" t="s">
        <s:v>368</s:v>
      </s:c>
      <s:c r="I52" s="564"/>
      <s:c r="J52" s="565"/>
      <s:c r="K52" s="564" t="s">
        <s:v>369</s:v>
      </s:c>
      <s:c r="L52" s="566"/>
    </s:row>
    <s:row r="53" ht="13.2">
      <s:c r="B53" s="553" t="s">
        <s:v>360</s:v>
      </s:c>
      <s:c r="C53" s="554" t="s">
        <s:v>361</s:v>
      </s:c>
      <s:c r="D53" s="555" t="s">
        <s:v>61</s:v>
      </s:c>
      <s:c r="E53" s="554" t="s">
        <s:v>361</s:v>
      </s:c>
      <s:c r="F53" s="556" t="s">
        <s:v>61</s:v>
      </s:c>
      <s:c r="G53"/>
      <s:c r="H53" s="553" t="s">
        <s:v>360</s:v>
      </s:c>
      <s:c r="I53" s="550" t="s">
        <s:v>361</s:v>
      </s:c>
      <s:c r="J53" s="552" t="s">
        <s:v>61</s:v>
      </s:c>
      <s:c r="K53" s="550" t="s">
        <s:v>361</s:v>
      </s:c>
      <s:c r="L53" s="552" t="s">
        <s:v>61</s:v>
      </s:c>
    </s:row>
    <s:row r="54" ht="13.2">
      <s:c r="B54" s="553" t="s">
        <s:v>362</s:v>
      </s:c>
      <s:c r="C54" s="557">
        <s:v>1410</s:v>
      </s:c>
      <s:c r="D54" s="558">
        <s:f>C54*8</s:f>
        <s:v>11280</s:v>
      </s:c>
      <s:c r="E54" s="557">
        <s:v>1810</s:v>
      </s:c>
      <s:c r="F54" s="559">
        <s:f>E54*8</s:f>
        <s:v>14480</s:v>
      </s:c>
      <s:c r="G54"/>
      <s:c r="H54" s="553" t="s">
        <s:v>366</s:v>
      </s:c>
      <s:c r="I54" s="568">
        <s:f>VLOOKUP($H54,$B$54:$F$58,2,0)</s:f>
        <s:v>4330</s:v>
      </s:c>
      <s:c r="J54" s="568">
        <s:f>VLOOKUP($H54,$B$54:$F$58,3,0)</s:f>
        <s:v>34640</s:v>
      </s:c>
      <s:c r="K54" s="568">
        <s:f>VLOOKUP($H54,$B$54:$F$58,4,0)</s:f>
        <s:v>6680</s:v>
      </s:c>
      <s:c r="L54" s="568">
        <s:f>VLOOKUP($H54,$B$54:$F$58,5,0)</s:f>
        <s:v>53440</s:v>
      </s:c>
    </s:row>
    <s:row r="55" ht="13.2">
      <s:c r="B55" s="553" t="s">
        <s:v>363</s:v>
      </s:c>
      <s:c r="C55" s="557">
        <s:v>2160</s:v>
      </s:c>
      <s:c r="D55" s="558">
        <s:f>C55*8</s:f>
        <s:v>17280</s:v>
      </s:c>
      <s:c r="E55" s="557">
        <s:v>2890</s:v>
      </s:c>
      <s:c r="F55" s="559">
        <s:f>E55*8</s:f>
        <s:v>23120</s:v>
      </s:c>
      <s:c r="G55"/>
      <s:c r="H55" s="553" t="s">
        <s:v>365</s:v>
      </s:c>
      <s:c r="I55" s="568">
        <s:f>VLOOKUP($H55,$B$54:$F$58,2,0)</s:f>
        <s:v>3720</s:v>
      </s:c>
      <s:c r="J55" s="568">
        <s:f>VLOOKUP($H55,$B$54:$F$58,3,0)</s:f>
        <s:v>29760</s:v>
      </s:c>
      <s:c r="K55" s="568">
        <s:f>VLOOKUP($H55,$B$54:$F$58,4,0)</s:f>
        <s:v>5220</s:v>
      </s:c>
      <s:c r="L55" s="568">
        <s:f>VLOOKUP($H55,$B$54:$F$58,5,0)</s:f>
        <s:v>41760</s:v>
      </s:c>
    </s:row>
    <s:row r="56" ht="13.2">
      <s:c r="B56" s="553" t="s">
        <s:v>364</s:v>
      </s:c>
      <s:c r="C56" s="557">
        <s:v>2780</s:v>
      </s:c>
      <s:c r="D56" s="558">
        <s:f>C56*8</s:f>
        <s:v>22240</s:v>
      </s:c>
      <s:c r="E56" s="557">
        <s:v>3910</s:v>
      </s:c>
      <s:c r="F56" s="559">
        <s:f>E56*8</s:f>
        <s:v>31280</s:v>
      </s:c>
      <s:c r="G56"/>
      <s:c r="H56" s="553" t="s">
        <s:v>364</s:v>
      </s:c>
      <s:c r="I56" s="568">
        <s:f>VLOOKUP($H56,$B$54:$F$58,2,0)</s:f>
        <s:v>2780</s:v>
      </s:c>
      <s:c r="J56" s="568">
        <s:f>VLOOKUP($H56,$B$54:$F$58,3,0)</s:f>
        <s:v>22240</s:v>
      </s:c>
      <s:c r="K56" s="568">
        <s:f>VLOOKUP($H56,$B$54:$F$58,4,0)</s:f>
        <s:v>3910</s:v>
      </s:c>
      <s:c r="L56" s="568">
        <s:f>VLOOKUP($H56,$B$54:$F$58,5,0)</s:f>
        <s:v>31280</s:v>
      </s:c>
    </s:row>
    <s:row r="57" ht="13.2">
      <s:c r="B57" s="553" t="s">
        <s:v>365</s:v>
      </s:c>
      <s:c r="C57" s="557">
        <s:v>3720</s:v>
      </s:c>
      <s:c r="D57" s="558">
        <s:f>C57*8</s:f>
        <s:v>29760</s:v>
      </s:c>
      <s:c r="E57" s="557">
        <s:v>5220</s:v>
      </s:c>
      <s:c r="F57" s="559">
        <s:f>E57*8</s:f>
        <s:v>41760</s:v>
      </s:c>
      <s:c r="G57"/>
      <s:c r="H57" s="553" t="s">
        <s:v>363</s:v>
      </s:c>
      <s:c r="I57" s="568">
        <s:f>VLOOKUP($H57,$B$54:$F$58,2,0)</s:f>
        <s:v>2160</s:v>
      </s:c>
      <s:c r="J57" s="568">
        <s:f>VLOOKUP($H57,$B$54:$F$58,3,0)</s:f>
        <s:v>17280</s:v>
      </s:c>
      <s:c r="K57" s="568">
        <s:f>VLOOKUP($H57,$B$54:$F$58,4,0)</s:f>
        <s:v>2890</s:v>
      </s:c>
      <s:c r="L57" s="568">
        <s:f>VLOOKUP($H57,$B$54:$F$58,5,0)</s:f>
        <s:v>23120</s:v>
      </s:c>
    </s:row>
    <s:row r="58" ht="13.8">
      <s:c r="B58" s="553" t="s">
        <s:v>366</s:v>
      </s:c>
      <s:c r="C58" s="560">
        <s:v>4330</s:v>
      </s:c>
      <s:c r="D58" s="561">
        <s:f>C58*8</s:f>
        <s:v>34640</s:v>
      </s:c>
      <s:c r="E58" s="560">
        <s:v>6680</s:v>
      </s:c>
      <s:c r="F58" s="562">
        <s:f>E58*8</s:f>
        <s:v>53440</s:v>
      </s:c>
      <s:c r="G58"/>
      <s:c r="H58" s="553" t="s">
        <s:v>362</s:v>
      </s:c>
      <s:c r="I58" s="568">
        <s:f>VLOOKUP($H58,$B$54:$F$58,2,0)</s:f>
        <s:v>1410</s:v>
      </s:c>
      <s:c r="J58" s="568">
        <s:f>VLOOKUP($H58,$B$54:$F$58,3,0)</s:f>
        <s:v>11280</s:v>
      </s:c>
      <s:c r="K58" s="568">
        <s:f>VLOOKUP($H58,$B$54:$F$58,4,0)</s:f>
        <s:v>1810</s:v>
      </s:c>
      <s:c r="L58" s="568">
        <s:f>VLOOKUP($H58,$B$54:$F$58,5,0)</s:f>
        <s:v>14480</s:v>
      </s:c>
    </s:row>
    <s:row r="59" ht="13.8">
      <s:c r="B59" s="563" t="s">
        <s:v>367</s:v>
      </s:c>
      <s:c r="C59" s="563"/>
      <s:c r="D59"/>
      <s:c r="E59"/>
      <s:c r="F59"/>
      <s:c r="G59"/>
      <s:c r="H59"/>
      <s:c r="I59"/>
      <s:c r="J59"/>
      <s:c r="K59"/>
      <s:c r="L59"/>
    </s:row>
    <s:row r="60" ht="13.8">
      <s:c r="B60" s="549" t="s">
        <s:v>368</s:v>
      </s:c>
      <s:c r="C60" s="564"/>
      <s:c r="D60" s="565"/>
      <s:c r="E60" s="564" t="s">
        <s:v>369</s:v>
      </s:c>
      <s:c r="F60" s="566"/>
      <s:c r="G60"/>
      <s:c r="H60" s="549" t="s">
        <s:v>368</s:v>
      </s:c>
      <s:c r="I60" s="564"/>
      <s:c r="J60" s="565"/>
      <s:c r="K60" s="564" t="s">
        <s:v>369</s:v>
      </s:c>
      <s:c r="L60" s="566"/>
    </s:row>
    <s:row r="61" ht="13.2">
      <s:c r="B61" s="553" t="s">
        <s:v>360</s:v>
      </s:c>
      <s:c r="C61" s="550" t="s">
        <s:v>361</s:v>
      </s:c>
      <s:c r="D61" s="552" t="s">
        <s:v>61</s:v>
      </s:c>
      <s:c r="E61" s="550" t="s">
        <s:v>361</s:v>
      </s:c>
      <s:c r="F61" s="552" t="s">
        <s:v>61</s:v>
      </s:c>
      <s:c r="G61"/>
      <s:c r="H61" s="553" t="s">
        <s:v>360</s:v>
      </s:c>
      <s:c r="I61" s="550" t="s">
        <s:v>361</s:v>
      </s:c>
      <s:c r="J61" s="552" t="s">
        <s:v>61</s:v>
      </s:c>
      <s:c r="K61" s="550" t="s">
        <s:v>361</s:v>
      </s:c>
      <s:c r="L61" s="552" t="s">
        <s:v>61</s:v>
      </s:c>
    </s:row>
    <s:row r="62" ht="13.2">
      <s:c r="B62" s="553" t="s">
        <s:v>362</s:v>
      </s:c>
      <s:c r="C62" s="557">
        <s:f>C54*1.1</s:f>
        <s:v>1551.0000000000002</s:v>
      </s:c>
      <s:c r="D62" s="567">
        <s:f>C62*8</s:f>
        <s:v>12408.000000000002</s:v>
      </s:c>
      <s:c r="E62" s="557">
        <s:f>E54*1.1</s:f>
        <s:v>1991.0000000000002</s:v>
      </s:c>
      <s:c r="F62" s="559">
        <s:f>E62*8</s:f>
        <s:v>15928.000000000002</s:v>
      </s:c>
      <s:c r="G62"/>
      <s:c r="H62" s="553" t="s">
        <s:v>366</s:v>
      </s:c>
      <s:c r="I62" s="568">
        <s:f>VLOOKUP($H62,$B$62:$F$66,2,0)</s:f>
        <s:v>4763</s:v>
      </s:c>
      <s:c r="J62" s="568">
        <s:f>VLOOKUP($H62,$B$62:$F$66,3,0)</s:f>
        <s:v>38104</s:v>
      </s:c>
      <s:c r="K62" s="568">
        <s:f>VLOOKUP($H62,$B$62:$F$66,4,0)</s:f>
        <s:v>7348.0000000000009</s:v>
      </s:c>
      <s:c r="L62" s="568">
        <s:f>VLOOKUP($H62,$B$62:$F$66,5,0)</s:f>
        <s:v>58784.000000000007</s:v>
      </s:c>
    </s:row>
    <s:row r="63" ht="13.2">
      <s:c r="B63" s="553" t="s">
        <s:v>363</s:v>
      </s:c>
      <s:c r="C63" s="557">
        <s:f>C55*1.1</s:f>
        <s:v>2376</s:v>
      </s:c>
      <s:c r="D63" s="567">
        <s:f>C63*8</s:f>
        <s:v>19008</s:v>
      </s:c>
      <s:c r="E63" s="557">
        <s:f>E55*1.1</s:f>
        <s:v>3179.0000000000005</s:v>
      </s:c>
      <s:c r="F63" s="559">
        <s:f>E63*8</s:f>
        <s:v>25432.000000000004</s:v>
      </s:c>
      <s:c r="G63"/>
      <s:c r="H63" s="553" t="s">
        <s:v>365</s:v>
      </s:c>
      <s:c r="I63" s="568">
        <s:f>VLOOKUP($H63,$B$62:$F$66,2,0)</s:f>
        <s:v>4092.0000000000005</s:v>
      </s:c>
      <s:c r="J63" s="568">
        <s:f>VLOOKUP($H63,$B$62:$F$66,3,0)</s:f>
        <s:v>32736.000000000004</s:v>
      </s:c>
      <s:c r="K63" s="568">
        <s:f>VLOOKUP($H63,$B$62:$F$66,4,0)</s:f>
        <s:v>5742.0000000000009</s:v>
      </s:c>
      <s:c r="L63" s="568">
        <s:f>VLOOKUP($H63,$B$62:$F$66,5,0)</s:f>
        <s:v>45936.000000000007</s:v>
      </s:c>
    </s:row>
    <s:row r="64" ht="13.2">
      <s:c r="B64" s="553" t="s">
        <s:v>364</s:v>
      </s:c>
      <s:c r="C64" s="557">
        <s:f>C56*1.1</s:f>
        <s:v>3058.0000000000005</s:v>
      </s:c>
      <s:c r="D64" s="567">
        <s:f>C64*8</s:f>
        <s:v>24464.000000000004</s:v>
      </s:c>
      <s:c r="E64" s="557">
        <s:f>E56*1.1</s:f>
        <s:v>4301</s:v>
      </s:c>
      <s:c r="F64" s="559">
        <s:f>E64*8</s:f>
        <s:v>34408</s:v>
      </s:c>
      <s:c r="G64"/>
      <s:c r="H64" s="553" t="s">
        <s:v>364</s:v>
      </s:c>
      <s:c r="I64" s="568">
        <s:f>VLOOKUP($H64,$B$62:$F$66,2,0)</s:f>
        <s:v>3058.0000000000005</s:v>
      </s:c>
      <s:c r="J64" s="568">
        <s:f>VLOOKUP($H64,$B$62:$F$66,3,0)</s:f>
        <s:v>24464.000000000004</s:v>
      </s:c>
      <s:c r="K64" s="568">
        <s:f>VLOOKUP($H64,$B$62:$F$66,4,0)</s:f>
        <s:v>4301</s:v>
      </s:c>
      <s:c r="L64" s="568">
        <s:f>VLOOKUP($H64,$B$62:$F$66,5,0)</s:f>
        <s:v>34408</s:v>
      </s:c>
    </s:row>
    <s:row r="65" ht="13.2">
      <s:c r="B65" s="553" t="s">
        <s:v>365</s:v>
      </s:c>
      <s:c r="C65" s="557">
        <s:f>C57*1.1</s:f>
        <s:v>4092.0000000000005</s:v>
      </s:c>
      <s:c r="D65" s="567">
        <s:f>C65*8</s:f>
        <s:v>32736.000000000004</s:v>
      </s:c>
      <s:c r="E65" s="557">
        <s:f>E57*1.1</s:f>
        <s:v>5742.0000000000009</s:v>
      </s:c>
      <s:c r="F65" s="559">
        <s:f>E65*8</s:f>
        <s:v>45936.000000000007</s:v>
      </s:c>
      <s:c r="G65"/>
      <s:c r="H65" s="553" t="s">
        <s:v>363</s:v>
      </s:c>
      <s:c r="I65" s="568">
        <s:f>VLOOKUP($H65,$B$62:$F$66,2,0)</s:f>
        <s:v>2376</s:v>
      </s:c>
      <s:c r="J65" s="568">
        <s:f>VLOOKUP($H65,$B$62:$F$66,3,0)</s:f>
        <s:v>19008</s:v>
      </s:c>
      <s:c r="K65" s="568">
        <s:f>VLOOKUP($H65,$B$62:$F$66,4,0)</s:f>
        <s:v>3179.0000000000005</s:v>
      </s:c>
      <s:c r="L65" s="568">
        <s:f>VLOOKUP($H65,$B$62:$F$66,5,0)</s:f>
        <s:v>25432.000000000004</s:v>
      </s:c>
    </s:row>
    <s:row r="66" ht="13.8">
      <s:c r="B66" s="553" t="s">
        <s:v>366</s:v>
      </s:c>
      <s:c r="C66" s="560">
        <s:f>C58*1.1</s:f>
        <s:v>4763</s:v>
      </s:c>
      <s:c r="D66" s="569">
        <s:f>C66*8</s:f>
        <s:v>38104</s:v>
      </s:c>
      <s:c r="E66" s="560">
        <s:f>E58*1.1</s:f>
        <s:v>7348.0000000000009</s:v>
      </s:c>
      <s:c r="F66" s="562">
        <s:f>E66*8</s:f>
        <s:v>58784.000000000007</s:v>
      </s:c>
      <s:c r="G66"/>
      <s:c r="H66" s="553" t="s">
        <s:v>362</s:v>
      </s:c>
      <s:c r="I66" s="568">
        <s:f>VLOOKUP($H66,$B$62:$F$66,2,0)</s:f>
        <s:v>1551.0000000000002</s:v>
      </s:c>
      <s:c r="J66" s="568">
        <s:f>VLOOKUP($H66,$B$62:$F$66,3,0)</s:f>
        <s:v>12408.000000000002</s:v>
      </s:c>
      <s:c r="K66" s="568">
        <s:f>VLOOKUP($H66,$B$62:$F$66,4,0)</s:f>
        <s:v>1991.0000000000002</s:v>
      </s:c>
      <s:c r="L66" s="568">
        <s:f>VLOOKUP($H66,$B$62:$F$66,5,0)</s:f>
        <s:v>15928.000000000002</s:v>
      </s:c>
    </s:row>
    <s:row r="67" ht="13.2">
      <s:c r="B67" s="183"/>
      <s:c r="C67" s="563"/>
      <s:c r="D67"/>
      <s:c r="E67"/>
      <s:c r="F67"/>
      <s:c r="G67"/>
      <s:c r="H67"/>
      <s:c r="I67"/>
      <s:c r="J67"/>
      <s:c r="K67"/>
      <s:c r="L67"/>
    </s:row>
    <s:row r="68" ht="13.8">
      <s:c r="B68" s="563" t="s">
        <s:v>370</s:v>
      </s:c>
      <s:c r="C68" s="563"/>
      <s:c r="D68"/>
      <s:c r="E68"/>
      <s:c r="F68"/>
      <s:c r="G68"/>
      <s:c r="H68"/>
      <s:c r="I68"/>
      <s:c r="J68"/>
      <s:c r="K68"/>
      <s:c r="L68"/>
    </s:row>
    <s:row r="69" ht="13.8">
      <s:c r="B69" s="549" t="s">
        <s:v>368</s:v>
      </s:c>
      <s:c r="C69" s="564"/>
      <s:c r="D69" s="565"/>
      <s:c r="E69" s="564" t="s">
        <s:v>371</s:v>
      </s:c>
      <s:c r="F69" s="566"/>
      <s:c r="G69"/>
      <s:c r="H69" s="549" t="s">
        <s:v>368</s:v>
      </s:c>
      <s:c r="I69" s="564"/>
      <s:c r="J69" s="565"/>
      <s:c r="K69" s="564" t="s">
        <s:v>369</s:v>
      </s:c>
      <s:c r="L69" s="566"/>
    </s:row>
    <s:row r="70" ht="13.2">
      <s:c r="B70" s="553" t="s">
        <s:v>360</s:v>
      </s:c>
      <s:c r="C70" s="550" t="s">
        <s:v>361</s:v>
      </s:c>
      <s:c r="D70" s="552" t="s">
        <s:v>61</s:v>
      </s:c>
      <s:c r="E70" s="550" t="s">
        <s:v>361</s:v>
      </s:c>
      <s:c r="F70" s="552" t="s">
        <s:v>61</s:v>
      </s:c>
      <s:c r="G70"/>
      <s:c r="H70" s="553" t="s">
        <s:v>360</s:v>
      </s:c>
      <s:c r="I70" s="550" t="s">
        <s:v>361</s:v>
      </s:c>
      <s:c r="J70" s="552" t="s">
        <s:v>61</s:v>
      </s:c>
      <s:c r="K70" s="550" t="s">
        <s:v>361</s:v>
      </s:c>
      <s:c r="L70" s="552" t="s">
        <s:v>61</s:v>
      </s:c>
    </s:row>
    <s:row r="71" ht="13.2">
      <s:c r="B71" s="553" t="s">
        <s:v>362</s:v>
      </s:c>
      <s:c r="C71" s="557">
        <s:f>C54*1.05</s:f>
        <s:v>1480.5</s:v>
      </s:c>
      <s:c r="D71" s="567">
        <s:f>C71*8</s:f>
        <s:v>11844</s:v>
      </s:c>
      <s:c r="E71" s="557">
        <s:f>E54*1.05</s:f>
        <s:v>1900.5</s:v>
      </s:c>
      <s:c r="F71" s="559">
        <s:f>E71*8</s:f>
        <s:v>15204</s:v>
      </s:c>
      <s:c r="G71"/>
      <s:c r="H71" s="553" t="s">
        <s:v>366</s:v>
      </s:c>
      <s:c r="I71" s="568">
        <s:f>VLOOKUP($H71,$B$71:$F$75,2,0)</s:f>
        <s:v>4546.5</s:v>
      </s:c>
      <s:c r="J71" s="568">
        <s:f>VLOOKUP($H71,$B$71:$F$75,3,0)</s:f>
        <s:v>36372</s:v>
      </s:c>
      <s:c r="K71" s="568">
        <s:f>VLOOKUP($H71,$B$71:$F$75,4,0)</s:f>
        <s:v>7014</s:v>
      </s:c>
      <s:c r="L71" s="568">
        <s:f>VLOOKUP($H71,$B$71:$F$75,5,0)</s:f>
        <s:v>56112</s:v>
      </s:c>
    </s:row>
    <s:row r="72" ht="13.2">
      <s:c r="B72" s="553" t="s">
        <s:v>363</s:v>
      </s:c>
      <s:c r="C72" s="557">
        <s:f>C55*1.05</s:f>
        <s:v>2268</s:v>
      </s:c>
      <s:c r="D72" s="567">
        <s:f>C72*8</s:f>
        <s:v>18144</s:v>
      </s:c>
      <s:c r="E72" s="557">
        <s:f>E55*1.05</s:f>
        <s:v>3034.5</s:v>
      </s:c>
      <s:c r="F72" s="559">
        <s:f>E72*8</s:f>
        <s:v>24276</s:v>
      </s:c>
      <s:c r="G72"/>
      <s:c r="H72" s="553" t="s">
        <s:v>365</s:v>
      </s:c>
      <s:c r="I72" s="568">
        <s:f>VLOOKUP($H72,$B$71:$F$75,2,0)</s:f>
        <s:v>3906</s:v>
      </s:c>
      <s:c r="J72" s="568">
        <s:f>VLOOKUP($H72,$B$71:$F$75,3,0)</s:f>
        <s:v>31248</s:v>
      </s:c>
      <s:c r="K72" s="568">
        <s:f>VLOOKUP($H72,$B$71:$F$75,4,0)</s:f>
        <s:v>5481</s:v>
      </s:c>
      <s:c r="L72" s="568">
        <s:f>VLOOKUP($H72,$B$71:$F$75,5,0)</s:f>
        <s:v>43848</s:v>
      </s:c>
    </s:row>
    <s:row r="73" ht="13.2">
      <s:c r="B73" s="553" t="s">
        <s:v>364</s:v>
      </s:c>
      <s:c r="C73" s="557">
        <s:f>C56*1.05</s:f>
        <s:v>2919</s:v>
      </s:c>
      <s:c r="D73" s="567">
        <s:f>C73*8</s:f>
        <s:v>23352</s:v>
      </s:c>
      <s:c r="E73" s="557">
        <s:f>E56*1.05</s:f>
        <s:v>4105.5</s:v>
      </s:c>
      <s:c r="F73" s="559">
        <s:f>E73*8</s:f>
        <s:v>32844</s:v>
      </s:c>
      <s:c r="G73"/>
      <s:c r="H73" s="553" t="s">
        <s:v>364</s:v>
      </s:c>
      <s:c r="I73" s="568">
        <s:f>VLOOKUP($H73,$B$71:$F$75,2,0)</s:f>
        <s:v>2919</s:v>
      </s:c>
      <s:c r="J73" s="568">
        <s:f>VLOOKUP($H73,$B$71:$F$75,3,0)</s:f>
        <s:v>23352</s:v>
      </s:c>
      <s:c r="K73" s="568">
        <s:f>VLOOKUP($H73,$B$71:$F$75,4,0)</s:f>
        <s:v>4105.5</s:v>
      </s:c>
      <s:c r="L73" s="568">
        <s:f>VLOOKUP($H73,$B$71:$F$75,5,0)</s:f>
        <s:v>32844</s:v>
      </s:c>
    </s:row>
    <s:row r="74" ht="13.2">
      <s:c r="B74" s="553" t="s">
        <s:v>365</s:v>
      </s:c>
      <s:c r="C74" s="557">
        <s:f>C57*1.05</s:f>
        <s:v>3906</s:v>
      </s:c>
      <s:c r="D74" s="567">
        <s:f>C74*8</s:f>
        <s:v>31248</s:v>
      </s:c>
      <s:c r="E74" s="557">
        <s:f>E57*1.05</s:f>
        <s:v>5481</s:v>
      </s:c>
      <s:c r="F74" s="559">
        <s:f>E74*8</s:f>
        <s:v>43848</s:v>
      </s:c>
      <s:c r="G74"/>
      <s:c r="H74" s="553" t="s">
        <s:v>363</s:v>
      </s:c>
      <s:c r="I74" s="568">
        <s:f>VLOOKUP($H74,$B$71:$F$75,2,0)</s:f>
        <s:v>2268</s:v>
      </s:c>
      <s:c r="J74" s="568">
        <s:f>VLOOKUP($H74,$B$71:$F$75,3,0)</s:f>
        <s:v>18144</s:v>
      </s:c>
      <s:c r="K74" s="568">
        <s:f>VLOOKUP($H74,$B$71:$F$75,4,0)</s:f>
        <s:v>3034.5</s:v>
      </s:c>
      <s:c r="L74" s="568">
        <s:f>VLOOKUP($H74,$B$71:$F$75,5,0)</s:f>
        <s:v>24276</s:v>
      </s:c>
    </s:row>
    <s:row r="75" ht="13.8">
      <s:c r="B75" s="553" t="s">
        <s:v>366</s:v>
      </s:c>
      <s:c r="C75" s="557">
        <s:f>C58*1.05</s:f>
        <s:v>4546.5</s:v>
      </s:c>
      <s:c r="D75" s="569">
        <s:f>C75*8</s:f>
        <s:v>36372</s:v>
      </s:c>
      <s:c r="E75" s="557">
        <s:f>E58*1.05</s:f>
        <s:v>7014</s:v>
      </s:c>
      <s:c r="F75" s="562">
        <s:f>E75*8</s:f>
        <s:v>56112</s:v>
      </s:c>
      <s:c r="G75"/>
      <s:c r="H75" s="553" t="s">
        <s:v>362</s:v>
      </s:c>
      <s:c r="I75" s="568">
        <s:f>VLOOKUP($H75,$B$71:$F$75,2,0)</s:f>
        <s:v>1480.5</s:v>
      </s:c>
      <s:c r="J75" s="568">
        <s:f>VLOOKUP($H75,$B$71:$F$75,3,0)</s:f>
        <s:v>11844</s:v>
      </s:c>
      <s:c r="K75" s="568">
        <s:f>VLOOKUP($H75,$B$71:$F$75,4,0)</s:f>
        <s:v>1900.5</s:v>
      </s:c>
      <s:c r="L75" s="568">
        <s:f>VLOOKUP($H75,$B$71:$F$75,5,0)</s:f>
        <s:v>15204</s:v>
      </s:c>
    </s:row>
  </s:sheetData>
  <s:mergeCells count="6">
    <s:mergeCell ref="D7:E7"/>
    <s:mergeCell ref="D2:E2"/>
    <s:mergeCell ref="D3:E3"/>
    <s:mergeCell ref="D4:E4"/>
    <s:mergeCell ref="D5:E5"/>
    <s:mergeCell ref="D6:E6"/>
  </s:mergeCells>
  <s:dataValidations count="2">
    <s:dataValidation xr:uid="{42BFA08B-CA3F-41C2-AF72-6539BF4474F7}" type="list" allowBlank="1" showInputMessage="1" showErrorMessage="1" sqref="E22:E33" vyd:viewType="arrow" mc:Ignorable="vyd">
      <s:formula1>r_gradelist</s:formula1>
    </s:dataValidation>
    <s:dataValidation type="list" sqref="B37:B40 B22:B33 B44:B47" vyd:viewType="arrow" mc:Ignorable="vyd">
      <s:formula1>'Подразделения (ЦК.ЦФО.МВЗ)'!$C$3:$C$25</s:formula1>
    </s:dataValidation>
  </s:dataValidations>
  <s:pageMargins left="0.7" right="0.7" top="0.75" bottom="0.75" header="0.3" footer="0.3"/>
  <s:pageSetup paperSize="9" orientation="portrait" r:id="rId1"/>
  <s:extLst>
    <s:ext uri="{CCE6A557-97BC-4b89-ADB6-D9C93CAAB3DF}"/>
  </s:extLst>
</s:worksheet>
</file>

<file path=xl/worksheets/sheet2.xml><?xml version="1.0" encoding="utf-8"?>
<s:worksheet xmlns:xr="http://schemas.microsoft.com/office/spreadsheetml/2014/revision" xmlns:xr3="http://schemas.microsoft.com/office/spreadsheetml/2016/revision3" xmlns:xr2="http://schemas.microsoft.com/office/spreadsheetml/2015/revision2" xmlns:mc="http://schemas.openxmlformats.org/markup-compatibility/2006" xmlns:s="http://schemas.openxmlformats.org/spreadsheetml/2006/main" xmlns:r="http://schemas.openxmlformats.org/officeDocument/2006/relationships" xmlns:vyd="http://volga.yandex.com/schemas/document/model" xmlns:x14ac="http://schemas.microsoft.com/office/spreadsheetml/2009/9/ac" mc:Ignorable="x14ac xr xr2 xr3" xr:uid="{00000000-0001-0000-0100-000000000000}">
  <s:sheetPr codeName="Sheet3">
    <s:outlinePr summaryBelow="0" summaryRight="0"/>
    <s:pageSetUpPr fitToPage="1"/>
  </s:sheetPr>
  <s:dimension ref="B1:T168"/>
  <s:sheetViews>
    <s:sheetView showGridLines="0" tabSelected="0" zoomScale="70" zoomScaleNormal="70" workbookViewId="0">
      <s:selection activeCell="O18" sqref="O18"/>
    </s:sheetView>
  </s:sheetViews>
  <s:sheetFormatPr defaultColWidth="9.109" defaultRowHeight="11.4" outlineLevelRow="3"/>
  <s:cols>
    <s:col min="1" max="1" width="1.109" style="28" customWidth="1"/>
    <s:col min="2" max="3" width="15.777" style="28" customWidth="1"/>
    <s:col min="4" max="4" width="41.777" style="28" customWidth="1"/>
    <s:col min="5" max="5" width="19.664" style="28" customWidth="1"/>
    <s:col min="6" max="6" width="17.109" style="28" customWidth="1"/>
    <s:col min="7" max="12" width="16" style="28" customWidth="1"/>
    <s:col min="13" max="13" width="17.777" style="28" customWidth="1"/>
    <s:col min="14" max="14" width="15.777" style="28" customWidth="1"/>
    <s:col min="15" max="15" width="14.777" style="28" customWidth="1"/>
    <s:col min="16" max="16" width="14.109" style="28" customWidth="1"/>
    <s:col min="17" max="18" width="14.777" style="28" customWidth="1"/>
    <s:col min="19" max="19" width="15.777" style="28" customWidth="1"/>
    <s:col min="20" max="16384" width="9.109" style="28"/>
  </s:cols>
  <s:sheetData>
    <s:row r="1" spans="2:20" ht="17.25" customHeight="1">
      <s:c r="B1" s="29" t="s">
        <s:v>136</s:v>
      </s:c>
      <s:c r="C1" s="29"/>
      <s:c r="D1" s="30"/>
    </s:row>
    <s:row r="2" spans="2:20" ht="2.25" customHeight="1">
      <s:c r="B2" s="29"/>
      <s:c r="C2" s="29"/>
      <s:c r="D2" s="30"/>
    </s:row>
    <s:row r="3" spans="2:20" ht="12" customHeight="1">
      <s:c r="B3" s="31" t="s">
        <s:v>27</s:v>
      </s:c>
      <s:c r="C3" s="32"/>
      <s:c r="D3" s="32"/>
      <s:c r="E3" s="32"/>
      <s:c r="M3" s="33" t="s">
        <s:v>28</s:v>
      </s:c>
    </s:row>
    <s:row r="4" ht="13.8">
      <s:c r="B4" s="34">
        <s:v>0</s:v>
      </s:c>
      <s:c r="C4" s="35"/>
      <s:c r="D4" s="35"/>
      <s:c r="E4" s="35"/>
      <s:c r="M4" s="36">
        <s:f ca="1">M12*1.2</s:f>
        <s:v>0</s:v>
      </s:c>
    </s:row>
    <s:row r="5" spans="2:20" ht="14.25" customHeight="1">
      <s:c r="B5" s="29"/>
      <s:c r="C5" s="29"/>
      <s:c r="D5" s="30"/>
    </s:row>
    <s:row r="6" spans="2:20" s="14" customFormat="1" ht="15.75" customHeight="1" outlineLevel="1">
      <s:c r="B6" s="589" t="s">
        <s:v>29</s:v>
      </s:c>
      <s:c r="C6" s="590"/>
      <s:c r="D6" s="591"/>
      <s:c r="E6" s="595" t="s">
        <s:v>30</s:v>
      </s:c>
      <s:c r="F6" s="596"/>
      <s:c r="G6" s="596"/>
      <s:c r="H6" s="596"/>
      <s:c r="I6" s="596"/>
      <s:c r="J6" s="596"/>
      <s:c r="K6" s="596"/>
      <s:c r="L6" s="597"/>
      <s:c r="M6" s="598" t="s">
        <s:v>31</s:v>
      </s:c>
      <s:c r="N6" s="37"/>
      <s:c r="O6" s="38"/>
      <s:c r="P6" s="38"/>
      <s:c r="Q6" s="38"/>
      <s:c r="R6" s="38"/>
      <s:c r="S6" s="38"/>
      <s:c r="T6" s="38"/>
    </s:row>
    <s:row r="7" spans="2:20" s="14" customFormat="1" ht="15.75" customHeight="1" outlineLevel="1" thickBot="1">
      <s:c r="B7" s="592"/>
      <s:c r="C7" s="593"/>
      <s:c r="D7" s="594"/>
      <s:c r="E7" s="39" t="s">
        <s:v>32</s:v>
      </s:c>
      <s:c r="F7" s="39" t="s">
        <s:v>33</s:v>
      </s:c>
      <s:c r="G7" s="39"/>
      <s:c r="H7" s="39"/>
      <s:c r="I7" s="39"/>
      <s:c r="J7" s="39"/>
      <s:c r="K7" s="39"/>
      <s:c r="L7" s="39"/>
      <s:c r="M7" s="599"/>
      <s:c r="N7" s="37"/>
      <s:c r="O7" s="38"/>
      <s:c r="P7" s="38"/>
      <s:c r="Q7" s="38"/>
      <s:c r="R7" s="38"/>
      <s:c r="S7" s="38"/>
      <s:c r="T7" s="38"/>
    </s:row>
    <s:row r="8" spans="2:20" s="14" customFormat="1" ht="15.75" customHeight="1" outlineLevel="1">
      <s:c r="B8" s="600" t="s">
        <s:v>34</s:v>
      </s:c>
      <s:c r="C8" s="601"/>
      <s:c r="D8" s="602"/>
      <s:c r="E8" s="40">
        <s:f ca="1">SUM(E9:E11)</s:f>
        <s:v>0</s:v>
      </s:c>
      <s:c r="F8" s="41">
        <s:f ca="1">SUM(F9:F11)</s:f>
        <s:v>0</s:v>
      </s:c>
      <s:c r="G8" s="41">
        <s:f ca="1">SUM(G9:G11)</s:f>
        <s:v>0</s:v>
      </s:c>
      <s:c r="H8" s="41">
        <s:f ca="1">SUM(H9:H11)</s:f>
        <s:v>0</s:v>
      </s:c>
      <s:c r="I8" s="41">
        <s:f ca="1">SUM(I9:I11)</s:f>
        <s:v>0</s:v>
      </s:c>
      <s:c r="J8" s="41">
        <s:f ca="1">SUM(J9:J11)</s:f>
        <s:v>0</s:v>
      </s:c>
      <s:c r="K8" s="41">
        <s:f ca="1">SUM(K9:K11)</s:f>
        <s:v>0</s:v>
      </s:c>
      <s:c r="L8" s="41">
        <s:f ca="1">SUM(L9:L11)</s:f>
        <s:v>0</s:v>
      </s:c>
      <s:c r="M8" s="42">
        <s:f ca="1">SUM(E8:L8)</s:f>
        <s:v>0</s:v>
      </s:c>
      <s:c r="N8" s="38"/>
      <s:c r="O8" s="38"/>
      <s:c r="P8" s="38"/>
      <s:c r="Q8" s="38"/>
      <s:c r="R8" s="38"/>
      <s:c r="S8" s="38"/>
      <s:c r="T8" s="38"/>
    </s:row>
    <s:row r="9" spans="2:20" s="14" customFormat="1" ht="15.75" customHeight="1" outlineLevel="2">
      <s:c r="B9" s="603" t="s">
        <s:v>35</s:v>
      </s:c>
      <s:c r="C9" s="604"/>
      <s:c r="D9" s="605"/>
      <s:c r="E9" s="43">
        <s:f ca="1">IFERROR(SUMIF(p_dt_c_ph,E$7,p_dt_c_eff),0)</s:f>
        <s:v>0</s:v>
      </s:c>
      <s:c r="F9" s="43">
        <s:f ca="1">IFERROR(SUMIF(p_dt_c_ph,F$7,p_dt_c_eff),0)</s:f>
        <s:v>0</s:v>
      </s:c>
      <s:c r="G9" s="43">
        <s:f ca="1">IFERROR(SUMIF(p_dt_c_ph,G$7,p_dt_c_eff),0)</s:f>
        <s:v>0</s:v>
      </s:c>
      <s:c r="H9" s="43">
        <s:f ca="1">IFERROR(SUMIF(p_dt_c_ph,H$7,p_dt_c_eff),0)</s:f>
        <s:v>0</s:v>
      </s:c>
      <s:c r="I9" s="43">
        <s:f ca="1">IFERROR(SUMIF(p_dt_c_ph,I$7,p_dt_c_eff),0)</s:f>
        <s:v>0</s:v>
      </s:c>
      <s:c r="J9" s="43">
        <s:f ca="1">IFERROR(SUMIF(p_dt_c_ph,J$7,p_dt_c_eff),0)</s:f>
        <s:v>0</s:v>
      </s:c>
      <s:c r="K9" s="43">
        <s:f ca="1">IFERROR(SUMIF(p_dt_c_ph,K$7,p_dt_c_eff),0)</s:f>
        <s:v>0</s:v>
      </s:c>
      <s:c r="L9" s="43">
        <s:f ca="1">IFERROR(SUMIF(p_dt_c_ph,L$7,p_dt_c_eff),0)</s:f>
        <s:v>0</s:v>
      </s:c>
      <s:c r="M9" s="44">
        <s:f ca="1">SUM(E9:L9)</s:f>
        <s:v>0</s:v>
      </s:c>
      <s:c r="N9" s="38"/>
    </s:row>
    <s:row r="10" spans="2:20" s="14" customFormat="1" ht="15.75" customHeight="1" outlineLevel="2">
      <s:c r="B10" s="603" t="s">
        <s:v>36</s:v>
      </s:c>
      <s:c r="C10" s="604"/>
      <s:c r="D10" s="605"/>
      <s:c r="E10" s="43">
        <s:f ca="1">IFERROR(SUMIF(p_3p_c_ph,E$7,p_3p_c_eff),0)</s:f>
        <s:v>0</s:v>
      </s:c>
      <s:c r="F10" s="43">
        <s:f ca="1">IFERROR(SUMIF(p_3p_c_ph,F$7,p_3p_c_eff),0)</s:f>
        <s:v>0</s:v>
      </s:c>
      <s:c r="G10" s="43">
        <s:f ca="1">IFERROR(SUMIF(p_3p_c_ph,G$7,p_3p_c_eff),0)</s:f>
        <s:v>0</s:v>
      </s:c>
      <s:c r="H10" s="43">
        <s:f ca="1">IFERROR(SUMIF(p_3p_c_ph,H$7,p_3p_c_eff),0)</s:f>
        <s:v>0</s:v>
      </s:c>
      <s:c r="I10" s="43">
        <s:f ca="1">IFERROR(SUMIF(p_3p_c_ph,I$7,p_3p_c_eff),0)</s:f>
        <s:v>0</s:v>
      </s:c>
      <s:c r="J10" s="43">
        <s:f ca="1">IFERROR(SUMIF(p_3p_c_ph,J$7,p_3p_c_eff),0)</s:f>
        <s:v>0</s:v>
      </s:c>
      <s:c r="K10" s="43">
        <s:f ca="1">IFERROR(SUMIF(p_3p_c_ph,K$7,p_3p_c_eff),0)</s:f>
        <s:v>0</s:v>
      </s:c>
      <s:c r="L10" s="43">
        <s:f ca="1">IFERROR(SUMIF(p_3p_c_ph,L$7,p_3p_c_eff),0)</s:f>
        <s:v>0</s:v>
      </s:c>
      <s:c r="M10" s="44">
        <s:f ca="1">SUM(E10:L10)</s:f>
        <s:v>0</s:v>
      </s:c>
      <s:c r="N10" s="38"/>
    </s:row>
    <s:row r="11" spans="2:20" s="14" customFormat="1" ht="15.75" customHeight="1" outlineLevel="2">
      <s:c r="B11" s="603" t="s">
        <s:v>37</s:v>
      </s:c>
      <s:c r="C11" s="604"/>
      <s:c r="D11" s="605"/>
      <s:c r="E11" s="43">
        <s:f ca="1">IFERROR(SUMIF(p_ic_c_ph,E$7,p_ic_c_eff),0)</s:f>
        <s:v>0</s:v>
      </s:c>
      <s:c r="F11" s="43">
        <s:f ca="1">IFERROR(SUMIF(p_ic_c_ph,F$7,p_ic_c_eff),0)</s:f>
        <s:v>0</s:v>
      </s:c>
      <s:c r="G11" s="43">
        <s:f ca="1">IFERROR(SUMIF(p_ic_c_ph,G$7,p_ic_c_eff),0)</s:f>
        <s:v>0</s:v>
      </s:c>
      <s:c r="H11" s="43">
        <s:f ca="1">IFERROR(SUMIF(p_ic_c_ph,H$7,p_ic_c_eff),0)</s:f>
        <s:v>0</s:v>
      </s:c>
      <s:c r="I11" s="43">
        <s:f ca="1">IFERROR(SUMIF(p_ic_c_ph,I$7,p_ic_c_eff),0)</s:f>
        <s:v>0</s:v>
      </s:c>
      <s:c r="J11" s="43">
        <s:f ca="1">IFERROR(SUMIF(p_ic_c_ph,J$7,p_ic_c_eff),0)</s:f>
        <s:v>0</s:v>
      </s:c>
      <s:c r="K11" s="43">
        <s:f ca="1">IFERROR(SUMIF(p_ic_c_ph,K$7,p_ic_c_eff),0)</s:f>
        <s:v>0</s:v>
      </s:c>
      <s:c r="L11" s="43">
        <s:f ca="1">IFERROR(SUMIF(p_ic_c_ph,L$7,p_ic_c_eff),0)</s:f>
        <s:v>0</s:v>
      </s:c>
      <s:c r="M11" s="44">
        <s:f ca="1">SUM(E11:L11)</s:f>
        <s:v>0</s:v>
      </s:c>
      <s:c r="N11" s="38"/>
    </s:row>
    <s:row r="12" spans="2:20" s="14" customFormat="1" ht="15" customHeight="1" outlineLevel="1">
      <s:c r="B12" s="606" t="s">
        <s:v>38</s:v>
      </s:c>
      <s:c r="C12" s="607"/>
      <s:c r="D12" s="608"/>
      <s:c r="E12" s="45">
        <s:f ca="1">SUM(E13:E15)</s:f>
        <s:v>0</s:v>
      </s:c>
      <s:c r="F12" s="46">
        <s:f ca="1">SUM(F13:F15)</s:f>
        <s:v>0</s:v>
      </s:c>
      <s:c r="G12" s="46">
        <s:f ca="1">SUM(G13:G15)</s:f>
        <s:v>0</s:v>
      </s:c>
      <s:c r="H12" s="46">
        <s:f ca="1">SUM(H13:H15)</s:f>
        <s:v>0</s:v>
      </s:c>
      <s:c r="I12" s="46">
        <s:f ca="1">SUM(I13:I15)</s:f>
        <s:v>0</s:v>
      </s:c>
      <s:c r="J12" s="46">
        <s:f ca="1">SUM(J13:J15)</s:f>
        <s:v>0</s:v>
      </s:c>
      <s:c r="K12" s="46">
        <s:f ca="1">SUM(K13:K15)</s:f>
        <s:v>0</s:v>
      </s:c>
      <s:c r="L12" s="46">
        <s:f ca="1">SUM(L13:L15)</s:f>
        <s:v>0</s:v>
      </s:c>
      <s:c r="M12" s="47">
        <s:f ca="1">SUM(E12:L12)</s:f>
        <s:v>0</s:v>
      </s:c>
      <s:c r="N12" s="38"/>
      <s:c r="O12" s="571" t="s">
        <s:v>375</s:v>
      </s:c>
      <s:c r="P12" s="61">
        <s:v>0.1</s:v>
      </s:c>
    </s:row>
    <s:row r="13" spans="2:20" s="14" customFormat="1" ht="15" customHeight="1" outlineLevel="2">
      <s:c r="B13" s="609" t="s">
        <s:v>39</s:v>
      </s:c>
      <s:c r="C13" s="610"/>
      <s:c r="D13" s="611"/>
      <s:c r="E13" s="48">
        <s:f ca="1">IFERROR(SUMIF(p_dt_c_ph,E$7,p_dt_c_r),0)+IFERROR(SUMIF(p_dt_o_ph,E$7,p_dt_o_r),0)+IFERROR(SUMIF(p_dt_t_ph,E$7,p_dt_t_r),0)</s:f>
        <s:v>0</s:v>
      </s:c>
      <s:c r="F13" s="49">
        <s:f ca="1">IFERROR(SUMIF(p_dt_c_ph,F$7,p_dt_c_r),0)+IFERROR(SUMIF(p_dt_o_ph,F$7,p_dt_o_r),0)+IFERROR(SUMIF(p_dt_t_ph,F$7,p_dt_t_r),0)</s:f>
        <s:v>0</s:v>
      </s:c>
      <s:c r="G13" s="49">
        <s:f ca="1">IFERROR(SUMIF(p_dt_c_ph,G$7,p_dt_c_r),0)+IFERROR(SUMIF(p_dt_o_ph,G$7,p_dt_o_r),0)+IFERROR(SUMIF(p_dt_t_ph,G$7,p_dt_t_r),0)</s:f>
        <s:v>0</s:v>
      </s:c>
      <s:c r="H13" s="49">
        <s:f ca="1">IFERROR(SUMIF(p_dt_c_ph,H$7,p_dt_c_r),0)+IFERROR(SUMIF(p_dt_o_ph,H$7,p_dt_o_r),0)+IFERROR(SUMIF(p_dt_t_ph,H$7,p_dt_t_r),0)</s:f>
        <s:v>0</s:v>
      </s:c>
      <s:c r="I13" s="49">
        <s:f ca="1">IFERROR(SUMIF(p_dt_c_ph,I$7,p_dt_c_r),0)+IFERROR(SUMIF(p_dt_o_ph,I$7,p_dt_o_r),0)+IFERROR(SUMIF(p_dt_t_ph,I$7,p_dt_t_r),0)</s:f>
        <s:v>0</s:v>
      </s:c>
      <s:c r="J13" s="49">
        <s:f ca="1">IFERROR(SUMIF(p_dt_c_ph,J$7,p_dt_c_r),0)+IFERROR(SUMIF(p_dt_o_ph,J$7,p_dt_o_r),0)+IFERROR(SUMIF(p_dt_t_ph,J$7,p_dt_t_r),0)</s:f>
        <s:v>0</s:v>
      </s:c>
      <s:c r="K13" s="49">
        <s:f ca="1">IFERROR(SUMIF(p_dt_c_ph,K$7,p_dt_c_r),0)+IFERROR(SUMIF(p_dt_o_ph,K$7,p_dt_o_r),0)+IFERROR(SUMIF(p_dt_t_ph,K$7,p_dt_t_r),0)</s:f>
        <s:v>0</s:v>
      </s:c>
      <s:c r="L13" s="49">
        <s:f ca="1">IFERROR(SUMIF(p_dt_c_ph,L$7,p_dt_c_r),0)+IFERROR(SUMIF(p_dt_o_ph,L$7,p_dt_o_r),0)+IFERROR(SUMIF(p_dt_t_ph,L$7,p_dt_t_r),0)</s:f>
        <s:v>0</s:v>
      </s:c>
      <s:c r="M13" s="50">
        <s:f ca="1">SUM(E13:L13)</s:f>
        <s:v>0</s:v>
      </s:c>
      <s:c r="N13" s="38"/>
      <s:c r="O13" s="571" t="s">
        <s:v>376</s:v>
      </s:c>
      <s:c r="P13" s="61">
        <s:v>0.1</s:v>
      </s:c>
    </s:row>
    <s:row r="14" spans="2:20" s="14" customFormat="1" ht="14.25" customHeight="1" outlineLevel="2">
      <s:c r="B14" s="609" t="s">
        <s:v>36</s:v>
      </s:c>
      <s:c r="C14" s="610"/>
      <s:c r="D14" s="611"/>
      <s:c r="E14" s="48">
        <s:f ca="1">IFERROR(SUMIF(p_3p_c_ph,E$7,p_3p_c_r),0)+IFERROR(SUMIF(p_3p_o_ph,E$7,p_3p_o_r),0)+IFERROR(SUMIF(p_3p_t_ph,E$7,p_3p_t_r),0)</s:f>
        <s:v>0</s:v>
      </s:c>
      <s:c r="F14" s="49">
        <s:f ca="1">IFERROR(SUMIF(p_3p_c_ph,F$7,p_3p_c_r),0)+IFERROR(SUMIF(p_3p_o_ph,F$7,p_3p_o_r),0)+IFERROR(SUMIF(p_3p_t_ph,F$7,p_3p_t_r),0)</s:f>
        <s:v>0</s:v>
      </s:c>
      <s:c r="G14" s="49">
        <s:f ca="1">IFERROR(SUMIF(p_3p_c_ph,G$7,p_3p_c_r),0)+IFERROR(SUMIF(p_3p_o_ph,G$7,p_3p_o_r),0)+IFERROR(SUMIF(p_3p_t_ph,G$7,p_3p_t_r),0)</s:f>
        <s:v>0</s:v>
      </s:c>
      <s:c r="H14" s="49">
        <s:f ca="1">IFERROR(SUMIF(p_3p_c_ph,H$7,p_3p_c_r),0)+IFERROR(SUMIF(p_3p_o_ph,H$7,p_3p_o_r),0)+IFERROR(SUMIF(p_3p_t_ph,H$7,p_3p_t_r),0)</s:f>
        <s:v>0</s:v>
      </s:c>
      <s:c r="I14" s="49">
        <s:f ca="1">IFERROR(SUMIF(p_3p_c_ph,I$7,p_3p_c_r),0)+IFERROR(SUMIF(p_3p_o_ph,I$7,p_3p_o_r),0)+IFERROR(SUMIF(p_3p_t_ph,I$7,p_3p_t_r),0)</s:f>
        <s:v>0</s:v>
      </s:c>
      <s:c r="J14" s="49">
        <s:f ca="1">IFERROR(SUMIF(p_3p_c_ph,J$7,p_3p_c_r),0)+IFERROR(SUMIF(p_3p_o_ph,J$7,p_3p_o_r),0)+IFERROR(SUMIF(p_3p_t_ph,J$7,p_3p_t_r),0)</s:f>
        <s:v>0</s:v>
      </s:c>
      <s:c r="K14" s="49">
        <s:f ca="1">IFERROR(SUMIF(p_3p_c_ph,K$7,p_3p_c_r),0)+IFERROR(SUMIF(p_3p_o_ph,K$7,p_3p_o_r),0)+IFERROR(SUMIF(p_3p_t_ph,K$7,p_3p_t_r),0)</s:f>
        <s:v>0</s:v>
      </s:c>
      <s:c r="L14" s="49">
        <s:f ca="1">IFERROR(SUMIF(p_3p_c_ph,L$7,p_3p_c_r),0)+IFERROR(SUMIF(p_3p_o_ph,L$7,p_3p_o_r),0)+IFERROR(SUMIF(p_3p_t_ph,L$7,p_3p_t_r),0)</s:f>
        <s:v>0</s:v>
      </s:c>
      <s:c r="M14" s="50">
        <s:f ca="1">SUM(E14:L14)</s:f>
        <s:v>0</s:v>
      </s:c>
      <s:c r="N14" s="38"/>
      <s:c r="O14" s="571" t="s">
        <s:v>377</s:v>
      </s:c>
      <s:c r="P14" s="61">
        <s:v>0.1</s:v>
      </s:c>
    </s:row>
    <s:row r="15" spans="2:20" s="14" customFormat="1" ht="15" customHeight="1" outlineLevel="2">
      <s:c r="B15" s="609" t="s">
        <s:v>37</s:v>
      </s:c>
      <s:c r="C15" s="610"/>
      <s:c r="D15" s="611"/>
      <s:c r="E15" s="48">
        <s:f ca="1">IFERROR(SUMIF(p_ic_c_ph,E$7,p_ic_c_r),0)+IFERROR(SUMIF(p_ic_o_ph,E$7,p_ic_o_r),0)+IFERROR(SUMIF(p_ic_t_ph,E$7,p_ic_t_r),0)</s:f>
        <s:v>0</s:v>
      </s:c>
      <s:c r="F15" s="49">
        <s:f ca="1">IFERROR(SUMIF(p_ic_c_ph,F$7,p_ic_c_r),0)+IFERROR(SUMIF(p_ic_o_ph,F$7,p_ic_o_r),0)+IFERROR(SUMIF(p_ic_t_ph,F$7,p_ic_t_r),0)</s:f>
        <s:v>0</s:v>
      </s:c>
      <s:c r="G15" s="49">
        <s:f ca="1">IFERROR(SUMIF(p_ic_c_ph,G$7,p_ic_c_r),0)+IFERROR(SUMIF(p_ic_o_ph,G$7,p_ic_o_r),0)+IFERROR(SUMIF(p_ic_t_ph,G$7,p_ic_t_r),0)</s:f>
        <s:v>0</s:v>
      </s:c>
      <s:c r="H15" s="49">
        <s:f ca="1">IFERROR(SUMIF(p_ic_c_ph,H$7,p_ic_c_r),0)+IFERROR(SUMIF(p_ic_o_ph,H$7,p_ic_o_r),0)+IFERROR(SUMIF(p_ic_t_ph,H$7,p_ic_t_r),0)</s:f>
        <s:v>0</s:v>
      </s:c>
      <s:c r="I15" s="49">
        <s:f ca="1">IFERROR(SUMIF(p_ic_c_ph,I$7,p_ic_c_r),0)+IFERROR(SUMIF(p_ic_o_ph,I$7,p_ic_o_r),0)+IFERROR(SUMIF(p_ic_t_ph,I$7,p_ic_t_r),0)</s:f>
        <s:v>0</s:v>
      </s:c>
      <s:c r="J15" s="49">
        <s:f ca="1">IFERROR(SUMIF(p_ic_c_ph,J$7,p_ic_c_r),0)+IFERROR(SUMIF(p_ic_o_ph,J$7,p_ic_o_r),0)+IFERROR(SUMIF(p_ic_t_ph,J$7,p_ic_t_r),0)</s:f>
        <s:v>0</s:v>
      </s:c>
      <s:c r="K15" s="49">
        <s:f ca="1">IFERROR(SUMIF(p_ic_c_ph,K$7,p_ic_c_r),0)+IFERROR(SUMIF(p_ic_o_ph,K$7,p_ic_o_r),0)+IFERROR(SUMIF(p_ic_t_ph,K$7,p_ic_t_r),0)</s:f>
        <s:v>0</s:v>
      </s:c>
      <s:c r="L15" s="49">
        <s:f ca="1">IFERROR(SUMIF(p_ic_c_ph,L$7,p_ic_c_r),0)+IFERROR(SUMIF(p_ic_o_ph,L$7,p_ic_o_r),0)+IFERROR(SUMIF(p_ic_t_ph,L$7,p_ic_t_r),0)</s:f>
        <s:v>0</s:v>
      </s:c>
      <s:c r="M15" s="50">
        <s:f ca="1">SUM(E15:L15)</s:f>
        <s:v>0</s:v>
      </s:c>
      <s:c r="N15" s="38"/>
    </s:row>
    <s:row r="16" spans="2:20" s="14" customFormat="1" ht="15" customHeight="1" outlineLevel="1">
      <s:c r="B16" s="606" t="s">
        <s:v>40</s:v>
      </s:c>
      <s:c r="C16" s="607"/>
      <s:c r="D16" s="608"/>
      <s:c r="E16" s="45">
        <s:f ca="1">E17+E21+E25</s:f>
        <s:v>0</s:v>
      </s:c>
      <s:c r="F16" s="46">
        <s:f ca="1">F17+F21+F25</s:f>
        <s:v>0</s:v>
      </s:c>
      <s:c r="G16" s="46">
        <s:f ca="1">G17+G21+G25</s:f>
        <s:v>0</s:v>
      </s:c>
      <s:c r="H16" s="46">
        <s:f ca="1">H17+H21+H25</s:f>
        <s:v>0</s:v>
      </s:c>
      <s:c r="I16" s="46">
        <s:f ca="1">I17+I21+I25</s:f>
        <s:v>0</s:v>
      </s:c>
      <s:c r="J16" s="46">
        <s:f ca="1">J17+J21+J25</s:f>
        <s:v>0</s:v>
      </s:c>
      <s:c r="K16" s="46">
        <s:f ca="1">K17+K21+K25</s:f>
        <s:v>0</s:v>
      </s:c>
      <s:c r="L16" s="46">
        <s:f ca="1">L17+L21+L25</s:f>
        <s:v>0</s:v>
      </s:c>
      <s:c r="M16" s="47">
        <s:f ca="1">SUM(E16:L16)</s:f>
        <s:v>0</s:v>
      </s:c>
      <s:c r="N16" s="38"/>
    </s:row>
    <s:row r="17" spans="2:20" s="14" customFormat="1" ht="15" customHeight="1" outlineLevel="2">
      <s:c r="B17" s="612" t="s">
        <s:v>41</s:v>
      </s:c>
      <s:c r="C17" s="613"/>
      <s:c r="D17" s="614"/>
      <s:c r="E17" s="51">
        <s:f ca="1">SUM(E18:E20)</s:f>
        <s:v>0</s:v>
      </s:c>
      <s:c r="F17" s="52">
        <s:f ca="1">SUM(F18:F20)</s:f>
        <s:v>0</s:v>
      </s:c>
      <s:c r="G17" s="52">
        <s:f ca="1">SUM(G18:G20)</s:f>
        <s:v>0</s:v>
      </s:c>
      <s:c r="H17" s="52">
        <s:f ca="1">SUM(H18:H20)</s:f>
        <s:v>0</s:v>
      </s:c>
      <s:c r="I17" s="52">
        <s:f ca="1">SUM(I18:I20)</s:f>
        <s:v>0</s:v>
      </s:c>
      <s:c r="J17" s="52">
        <s:f ca="1">SUM(J18:J20)</s:f>
        <s:v>0</s:v>
      </s:c>
      <s:c r="K17" s="52">
        <s:f ca="1">SUM(K18:K20)</s:f>
        <s:v>0</s:v>
      </s:c>
      <s:c r="L17" s="52">
        <s:f ca="1">SUM(L18:L20)</s:f>
        <s:v>0</s:v>
      </s:c>
      <s:c r="M17" s="53">
        <s:f ca="1">SUM(E17:L17)</s:f>
        <s:v>0</s:v>
      </s:c>
      <s:c r="N17" s="38"/>
      <s:c r="O17" s="38" t="s">
        <s:v>386</s:v>
      </s:c>
      <s:c r="P17" s="38"/>
      <s:c r="Q17" s="38"/>
      <s:c r="R17" s="38"/>
      <s:c r="S17" s="38"/>
      <s:c r="T17" s="38"/>
    </s:row>
    <s:row r="18" spans="2:20" s="14" customFormat="1" ht="15" customHeight="1" outlineLevel="3">
      <s:c r="B18" s="615" t="s">
        <s:v>42</s:v>
      </s:c>
      <s:c r="C18" s="616"/>
      <s:c r="D18" s="617"/>
      <s:c r="E18" s="48">
        <s:f ca="1">IFERROR(SUMIF(p_dt_c_ph,E$7,p_dt_c_c),0)</s:f>
        <s:v>0</s:v>
      </s:c>
      <s:c r="F18" s="49">
        <s:f ca="1">IFERROR(SUMIF(p_dt_c_ph,F$7,p_dt_c_c),0)</s:f>
        <s:v>0</s:v>
      </s:c>
      <s:c r="G18" s="49">
        <s:f ca="1">IFERROR(SUMIF(p_dt_c_ph,G$7,p_dt_c_c),0)</s:f>
        <s:v>0</s:v>
      </s:c>
      <s:c r="H18" s="49">
        <s:f ca="1">IFERROR(SUMIF(p_dt_c_ph,H$7,p_dt_c_c),0)</s:f>
        <s:v>0</s:v>
      </s:c>
      <s:c r="I18" s="49">
        <s:f ca="1">IFERROR(SUMIF(p_dt_c_ph,I$7,p_dt_c_c),0)</s:f>
        <s:v>0</s:v>
      </s:c>
      <s:c r="J18" s="49">
        <s:f ca="1">IFERROR(SUMIF(p_dt_c_ph,J$7,p_dt_c_c),0)</s:f>
        <s:v>0</s:v>
      </s:c>
      <s:c r="K18" s="49">
        <s:f ca="1">IFERROR(SUMIF(p_dt_c_ph,K$7,p_dt_c_c),0)</s:f>
        <s:v>0</s:v>
      </s:c>
      <s:c r="L18" s="49">
        <s:f ca="1">IFERROR(SUMIF(p_dt_c_ph,L$7,p_dt_c_c),0)</s:f>
        <s:v>0</s:v>
      </s:c>
      <s:c r="M18" s="50">
        <s:f ca="1">SUM(E18:L18)</s:f>
        <s:v>0</s:v>
      </s:c>
      <s:c r="N18" s="38"/>
      <s:c r="O18" s="572" t="s">
        <s:v>378</s:v>
      </s:c>
      <s:c r="P18" s="38"/>
      <s:c r="Q18" s="38"/>
      <s:c r="R18" s="38"/>
      <s:c r="S18" s="38"/>
      <s:c r="T18" s="38"/>
    </s:row>
    <s:row r="19" spans="2:20" s="14" customFormat="1" ht="15" customHeight="1" outlineLevel="3">
      <s:c r="B19" s="615" t="s">
        <s:v>43</s:v>
      </s:c>
      <s:c r="C19" s="616"/>
      <s:c r="D19" s="617"/>
      <s:c r="E19" s="48">
        <s:f ca="1">IFERROR(SUMIF(p_dt_o_ph,E$7,p_dt_o_c),0)</s:f>
        <s:v>0</s:v>
      </s:c>
      <s:c r="F19" s="49">
        <s:f ca="1">IFERROR(SUMIF(p_dt_o_ph,F$7,p_dt_o_c),0)</s:f>
        <s:v>0</s:v>
      </s:c>
      <s:c r="G19" s="49">
        <s:f ca="1">IFERROR(SUMIF(p_dt_o_ph,G$7,p_dt_o_c),0)</s:f>
        <s:v>0</s:v>
      </s:c>
      <s:c r="H19" s="49">
        <s:f ca="1">IFERROR(SUMIF(p_dt_o_ph,H$7,p_dt_o_c),0)</s:f>
        <s:v>0</s:v>
      </s:c>
      <s:c r="I19" s="49">
        <s:f ca="1">IFERROR(SUMIF(p_dt_o_ph,I$7,p_dt_o_c),0)</s:f>
        <s:v>0</s:v>
      </s:c>
      <s:c r="J19" s="49">
        <s:f ca="1">IFERROR(SUMIF(p_dt_o_ph,J$7,p_dt_o_c),0)</s:f>
        <s:v>0</s:v>
      </s:c>
      <s:c r="K19" s="49">
        <s:f ca="1">IFERROR(SUMIF(p_dt_o_ph,K$7,p_dt_o_c),0)</s:f>
        <s:v>0</s:v>
      </s:c>
      <s:c r="L19" s="49">
        <s:f ca="1">IFERROR(SUMIF(p_dt_o_ph,L$7,p_dt_o_c),0)</s:f>
        <s:v>0</s:v>
      </s:c>
      <s:c r="M19" s="50">
        <s:f ca="1">SUM(E19:L19)</s:f>
        <s:v>0</s:v>
      </s:c>
      <s:c r="N19" s="54"/>
      <s:c r="O19" s="38"/>
      <s:c r="P19" s="38"/>
      <s:c r="Q19" s="38"/>
      <s:c r="R19" s="38"/>
      <s:c r="S19" s="38"/>
      <s:c r="T19" s="38"/>
    </s:row>
    <s:row r="20" spans="2:20" s="14" customFormat="1" ht="15" customHeight="1" outlineLevel="3">
      <s:c r="B20" s="615" t="s">
        <s:v>44</s:v>
      </s:c>
      <s:c r="C20" s="616"/>
      <s:c r="D20" s="617"/>
      <s:c r="E20" s="48">
        <s:f ca="1">IFERROR(SUMIF(p_dt_t_ph,E$7,p_dt_t_c),0)</s:f>
        <s:v>0</s:v>
      </s:c>
      <s:c r="F20" s="49">
        <s:f ca="1">IFERROR(SUMIF(p_dt_t_ph,F$7,p_dt_t_c),0)</s:f>
        <s:v>0</s:v>
      </s:c>
      <s:c r="G20" s="49">
        <s:f ca="1">IFERROR(SUMIF(p_dt_t_ph,G$7,p_dt_t_c),0)</s:f>
        <s:v>0</s:v>
      </s:c>
      <s:c r="H20" s="49">
        <s:f ca="1">IFERROR(SUMIF(p_dt_t_ph,H$7,p_dt_t_c),0)</s:f>
        <s:v>0</s:v>
      </s:c>
      <s:c r="I20" s="49">
        <s:f ca="1">IFERROR(SUMIF(p_dt_t_ph,I$7,p_dt_t_c),0)</s:f>
        <s:v>0</s:v>
      </s:c>
      <s:c r="J20" s="49">
        <s:f ca="1">IFERROR(SUMIF(p_dt_t_ph,J$7,p_dt_t_c),0)</s:f>
        <s:v>0</s:v>
      </s:c>
      <s:c r="K20" s="49">
        <s:f ca="1">IFERROR(SUMIF(p_dt_t_ph,K$7,p_dt_t_c),0)</s:f>
        <s:v>0</s:v>
      </s:c>
      <s:c r="L20" s="49">
        <s:f ca="1">IFERROR(SUMIF(p_dt_t_ph,L$7,p_dt_t_c),0)</s:f>
        <s:v>0</s:v>
      </s:c>
      <s:c r="M20" s="50">
        <s:f ca="1">SUM(E20:L20)</s:f>
        <s:v>0</s:v>
      </s:c>
      <s:c r="N20" s="54"/>
      <s:c r="O20" s="38"/>
      <s:c r="P20" s="38"/>
      <s:c r="Q20" s="38"/>
      <s:c r="R20" s="38"/>
      <s:c r="S20" s="38"/>
      <s:c r="T20" s="38"/>
    </s:row>
    <s:row r="21" spans="2:20" s="14" customFormat="1" ht="15" customHeight="1" outlineLevel="2">
      <s:c r="B21" s="612" t="s">
        <s:v>36</s:v>
      </s:c>
      <s:c r="C21" s="613"/>
      <s:c r="D21" s="614"/>
      <s:c r="E21" s="45">
        <s:f ca="1">SUM(E22:E24)</s:f>
        <s:v>0</s:v>
      </s:c>
      <s:c r="F21" s="46">
        <s:f ca="1">SUM(F22:F24)</s:f>
        <s:v>0</s:v>
      </s:c>
      <s:c r="G21" s="46">
        <s:f ca="1">SUM(G22:G24)</s:f>
        <s:v>0</s:v>
      </s:c>
      <s:c r="H21" s="46">
        <s:f ca="1">SUM(H22:H24)</s:f>
        <s:v>0</s:v>
      </s:c>
      <s:c r="I21" s="46">
        <s:f ca="1">SUM(I22:I24)</s:f>
        <s:v>0</s:v>
      </s:c>
      <s:c r="J21" s="46">
        <s:f ca="1">SUM(J22:J24)</s:f>
        <s:v>0</s:v>
      </s:c>
      <s:c r="K21" s="46">
        <s:f ca="1">SUM(K22:K24)</s:f>
        <s:v>0</s:v>
      </s:c>
      <s:c r="L21" s="46">
        <s:f ca="1">SUM(L22:L24)</s:f>
        <s:v>0</s:v>
      </s:c>
      <s:c r="M21" s="47">
        <s:f ca="1">SUM(E21:L21)</s:f>
        <s:v>0</s:v>
      </s:c>
      <s:c r="N21" s="38"/>
      <s:c r="O21" s="38"/>
      <s:c r="P21" s="38"/>
      <s:c r="Q21" s="38"/>
      <s:c r="R21" s="38"/>
      <s:c r="S21" s="38"/>
      <s:c r="T21" s="38"/>
    </s:row>
    <s:row r="22" spans="2:20" s="14" customFormat="1" ht="15" customHeight="1" outlineLevel="3">
      <s:c r="B22" s="615" t="s">
        <s:v>42</s:v>
      </s:c>
      <s:c r="C22" s="616"/>
      <s:c r="D22" s="617"/>
      <s:c r="E22" s="48">
        <s:f ca="1">IFERROR(SUMIF(p_3p_c_ph,E$7,p_3p_c_c),0)</s:f>
        <s:v>0</s:v>
      </s:c>
      <s:c r="F22" s="49">
        <s:f ca="1">IFERROR(SUMIF(p_3p_c_ph,F$7,p_3p_c_c),0)</s:f>
        <s:v>0</s:v>
      </s:c>
      <s:c r="G22" s="49">
        <s:f ca="1">IFERROR(SUMIF(p_3p_c_ph,G$7,p_3p_c_c),0)</s:f>
        <s:v>0</s:v>
      </s:c>
      <s:c r="H22" s="49">
        <s:f ca="1">IFERROR(SUMIF(p_3p_c_ph,H$7,p_3p_c_c),0)</s:f>
        <s:v>0</s:v>
      </s:c>
      <s:c r="I22" s="49">
        <s:f ca="1">IFERROR(SUMIF(p_3p_c_ph,I$7,p_3p_c_c),0)</s:f>
        <s:v>0</s:v>
      </s:c>
      <s:c r="J22" s="49">
        <s:f ca="1">IFERROR(SUMIF(p_3p_c_ph,J$7,p_3p_c_c),0)</s:f>
        <s:v>0</s:v>
      </s:c>
      <s:c r="K22" s="49">
        <s:f ca="1">IFERROR(SUMIF(p_3p_c_ph,K$7,p_3p_c_c),0)</s:f>
        <s:v>0</s:v>
      </s:c>
      <s:c r="L22" s="49">
        <s:f ca="1">IFERROR(SUMIF(p_3p_c_ph,L$7,p_3p_c_c),0)</s:f>
        <s:v>0</s:v>
      </s:c>
      <s:c r="M22" s="50">
        <s:f ca="1">SUM(E22:L22)</s:f>
        <s:v>0</s:v>
      </s:c>
      <s:c r="N22" s="38"/>
      <s:c r="O22" s="38"/>
      <s:c r="P22" s="38"/>
      <s:c r="Q22" s="38"/>
      <s:c r="R22" s="38"/>
      <s:c r="S22" s="38"/>
      <s:c r="T22" s="38"/>
    </s:row>
    <s:row r="23" spans="2:20" s="14" customFormat="1" ht="15" customHeight="1" outlineLevel="3">
      <s:c r="B23" s="615" t="s">
        <s:v>43</s:v>
      </s:c>
      <s:c r="C23" s="616"/>
      <s:c r="D23" s="617"/>
      <s:c r="E23" s="48">
        <s:f ca="1">IFERROR(SUMIF(p_3p_o_ph,E$7,p_3p_o_c),0)</s:f>
        <s:v>0</s:v>
      </s:c>
      <s:c r="F23" s="49">
        <s:f ca="1">IFERROR(SUMIF(p_3p_o_ph,F$7,p_3p_o_c),0)</s:f>
        <s:v>0</s:v>
      </s:c>
      <s:c r="G23" s="49">
        <s:f ca="1">IFERROR(SUMIF(p_3p_o_ph,G$7,p_3p_o_c),0)</s:f>
        <s:v>0</s:v>
      </s:c>
      <s:c r="H23" s="49">
        <s:f ca="1">IFERROR(SUMIF(p_3p_o_ph,H$7,p_3p_o_c),0)</s:f>
        <s:v>0</s:v>
      </s:c>
      <s:c r="I23" s="49">
        <s:f ca="1">IFERROR(SUMIF(p_3p_o_ph,I$7,p_3p_o_c),0)</s:f>
        <s:v>0</s:v>
      </s:c>
      <s:c r="J23" s="49">
        <s:f ca="1">IFERROR(SUMIF(p_3p_o_ph,J$7,p_3p_o_c),0)</s:f>
        <s:v>0</s:v>
      </s:c>
      <s:c r="K23" s="49">
        <s:f ca="1">IFERROR(SUMIF(p_3p_o_ph,K$7,p_3p_o_c),0)</s:f>
        <s:v>0</s:v>
      </s:c>
      <s:c r="L23" s="49">
        <s:f ca="1">IFERROR(SUMIF(p_3p_o_ph,L$7,p_3p_o_c),0)</s:f>
        <s:v>0</s:v>
      </s:c>
      <s:c r="M23" s="50">
        <s:f ca="1">SUM(E23:L23)</s:f>
        <s:v>0</s:v>
      </s:c>
      <s:c r="N23" s="38"/>
      <s:c r="O23" s="38"/>
      <s:c r="P23" s="38"/>
      <s:c r="Q23" s="38"/>
      <s:c r="R23" s="38"/>
      <s:c r="S23" s="38"/>
      <s:c r="T23" s="38"/>
    </s:row>
    <s:row r="24" spans="2:20" s="14" customFormat="1" ht="15" customHeight="1" outlineLevel="3">
      <s:c r="B24" s="615" t="s">
        <s:v>44</s:v>
      </s:c>
      <s:c r="C24" s="616"/>
      <s:c r="D24" s="617"/>
      <s:c r="E24" s="48">
        <s:f ca="1">IFERROR(SUMIF(p_3p_t_ph,E$7,p_3p_t_c),0)</s:f>
        <s:v>0</s:v>
      </s:c>
      <s:c r="F24" s="49">
        <s:f ca="1">IFERROR(SUMIF(p_3p_t_ph,F$7,p_3p_t_c),0)</s:f>
        <s:v>0</s:v>
      </s:c>
      <s:c r="G24" s="49">
        <s:f ca="1">IFERROR(SUMIF(p_3p_t_ph,G$7,p_3p_t_c),0)</s:f>
        <s:v>0</s:v>
      </s:c>
      <s:c r="H24" s="49">
        <s:f ca="1">IFERROR(SUMIF(p_3p_t_ph,H$7,p_3p_t_c),0)</s:f>
        <s:v>0</s:v>
      </s:c>
      <s:c r="I24" s="49">
        <s:f ca="1">IFERROR(SUMIF(p_3p_t_ph,I$7,p_3p_t_c),0)</s:f>
        <s:v>0</s:v>
      </s:c>
      <s:c r="J24" s="49">
        <s:f ca="1">IFERROR(SUMIF(p_3p_t_ph,J$7,p_3p_t_c),0)</s:f>
        <s:v>0</s:v>
      </s:c>
      <s:c r="K24" s="49">
        <s:f ca="1">IFERROR(SUMIF(p_3p_t_ph,K$7,p_3p_t_c),0)</s:f>
        <s:v>0</s:v>
      </s:c>
      <s:c r="L24" s="49">
        <s:f ca="1">IFERROR(SUMIF(p_3p_t_ph,L$7,p_3p_t_c),0)</s:f>
        <s:v>0</s:v>
      </s:c>
      <s:c r="M24" s="50">
        <s:f ca="1">SUM(E24:L24)</s:f>
        <s:v>0</s:v>
      </s:c>
      <s:c r="N24" s="38"/>
      <s:c r="O24" s="38"/>
      <s:c r="P24" s="38"/>
      <s:c r="Q24" s="38"/>
      <s:c r="R24" s="38"/>
      <s:c r="S24" s="38"/>
      <s:c r="T24" s="38"/>
    </s:row>
    <s:row r="25" spans="2:20" s="14" customFormat="1" ht="15" customHeight="1" outlineLevel="2">
      <s:c r="B25" s="612" t="s">
        <s:v>45</s:v>
      </s:c>
      <s:c r="C25" s="613"/>
      <s:c r="D25" s="614"/>
      <s:c r="E25" s="45">
        <s:f ca="1">SUM(E26:E28)</s:f>
        <s:v>0</s:v>
      </s:c>
      <s:c r="F25" s="46">
        <s:f ca="1">SUM(F26:F28)</s:f>
        <s:v>0</s:v>
      </s:c>
      <s:c r="G25" s="46">
        <s:f ca="1">SUM(G26:G28)</s:f>
        <s:v>0</s:v>
      </s:c>
      <s:c r="H25" s="46">
        <s:f ca="1">SUM(H26:H28)</s:f>
        <s:v>0</s:v>
      </s:c>
      <s:c r="I25" s="46">
        <s:f ca="1">SUM(I26:I28)</s:f>
        <s:v>0</s:v>
      </s:c>
      <s:c r="J25" s="46">
        <s:f ca="1">SUM(J26:J28)</s:f>
        <s:v>0</s:v>
      </s:c>
      <s:c r="K25" s="46">
        <s:f ca="1">SUM(K26:K28)</s:f>
        <s:v>0</s:v>
      </s:c>
      <s:c r="L25" s="46">
        <s:f ca="1">SUM(L26:L28)</s:f>
        <s:v>0</s:v>
      </s:c>
      <s:c r="M25" s="47">
        <s:f ca="1">SUM(E25:L25)</s:f>
        <s:v>0</s:v>
      </s:c>
      <s:c r="N25" s="38"/>
      <s:c r="O25" s="38"/>
      <s:c r="P25" s="38"/>
      <s:c r="Q25" s="38"/>
      <s:c r="R25" s="38"/>
      <s:c r="S25" s="38"/>
      <s:c r="T25" s="38"/>
    </s:row>
    <s:row r="26" spans="2:20" s="14" customFormat="1" ht="15" customHeight="1" outlineLevel="3">
      <s:c r="B26" s="615" t="s">
        <s:v>42</s:v>
      </s:c>
      <s:c r="C26" s="616"/>
      <s:c r="D26" s="617"/>
      <s:c r="E26" s="48">
        <s:f ca="1">IFERROR(SUMIF(p_ic_c_ph,E$7,p_ic_c_c),0)</s:f>
        <s:v>0</s:v>
      </s:c>
      <s:c r="F26" s="49">
        <s:f ca="1">IFERROR(SUMIF(p_ic_c_ph,F$7,p_ic_c_c),0)</s:f>
        <s:v>0</s:v>
      </s:c>
      <s:c r="G26" s="49">
        <s:f ca="1">IFERROR(SUMIF(p_ic_c_ph,G$7,p_ic_c_c),0)</s:f>
        <s:v>0</s:v>
      </s:c>
      <s:c r="H26" s="49">
        <s:f ca="1">IFERROR(SUMIF(p_ic_c_ph,H$7,p_ic_c_c),0)</s:f>
        <s:v>0</s:v>
      </s:c>
      <s:c r="I26" s="49">
        <s:f ca="1">IFERROR(SUMIF(p_ic_c_ph,I$7,p_ic_c_c),0)</s:f>
        <s:v>0</s:v>
      </s:c>
      <s:c r="J26" s="49">
        <s:f ca="1">IFERROR(SUMIF(p_ic_c_ph,J$7,p_ic_c_c),0)</s:f>
        <s:v>0</s:v>
      </s:c>
      <s:c r="K26" s="49">
        <s:f ca="1">IFERROR(SUMIF(p_ic_c_ph,K$7,p_ic_c_c),0)</s:f>
        <s:v>0</s:v>
      </s:c>
      <s:c r="L26" s="49">
        <s:f ca="1">IFERROR(SUMIF(p_ic_c_ph,L$7,p_ic_c_c),0)</s:f>
        <s:v>0</s:v>
      </s:c>
      <s:c r="M26" s="50">
        <s:f ca="1">SUM(E26:L26)</s:f>
        <s:v>0</s:v>
      </s:c>
      <s:c r="N26" s="38"/>
      <s:c r="O26" s="38"/>
      <s:c r="P26" s="38"/>
      <s:c r="Q26" s="38"/>
      <s:c r="R26" s="38"/>
      <s:c r="S26" s="38"/>
      <s:c r="T26" s="38"/>
    </s:row>
    <s:row r="27" spans="2:20" s="14" customFormat="1" ht="15" customHeight="1" outlineLevel="3">
      <s:c r="B27" s="615" t="s">
        <s:v>43</s:v>
      </s:c>
      <s:c r="C27" s="616"/>
      <s:c r="D27" s="617"/>
      <s:c r="E27" s="48">
        <s:f ca="1">IFERROR(SUMIF(p_ic_o_ph,E$7,p_ic_o_c),0)</s:f>
        <s:v>0</s:v>
      </s:c>
      <s:c r="F27" s="49">
        <s:f ca="1">IFERROR(SUMIF(p_ic_o_ph,F$7,p_ic_o_c),0)</s:f>
        <s:v>0</s:v>
      </s:c>
      <s:c r="G27" s="49">
        <s:f ca="1">IFERROR(SUMIF(p_ic_o_ph,G$7,p_ic_o_c),0)</s:f>
        <s:v>0</s:v>
      </s:c>
      <s:c r="H27" s="49">
        <s:f ca="1">IFERROR(SUMIF(p_ic_o_ph,H$7,p_ic_o_c),0)</s:f>
        <s:v>0</s:v>
      </s:c>
      <s:c r="I27" s="49">
        <s:f ca="1">IFERROR(SUMIF(p_ic_o_ph,I$7,p_ic_o_c),0)</s:f>
        <s:v>0</s:v>
      </s:c>
      <s:c r="J27" s="49">
        <s:f ca="1">IFERROR(SUMIF(p_ic_o_ph,J$7,p_ic_o_c),0)</s:f>
        <s:v>0</s:v>
      </s:c>
      <s:c r="K27" s="49">
        <s:f ca="1">IFERROR(SUMIF(p_ic_o_ph,K$7,p_ic_o_c),0)</s:f>
        <s:v>0</s:v>
      </s:c>
      <s:c r="L27" s="49">
        <s:f ca="1">IFERROR(SUMIF(p_ic_o_ph,L$7,p_ic_o_c),0)</s:f>
        <s:v>0</s:v>
      </s:c>
      <s:c r="M27" s="50">
        <s:f ca="1">SUM(E27:L27)</s:f>
        <s:v>0</s:v>
      </s:c>
      <s:c r="N27" s="38"/>
      <s:c r="O27" s="38"/>
      <s:c r="P27" s="38"/>
      <s:c r="Q27" s="38"/>
      <s:c r="R27" s="38"/>
      <s:c r="S27" s="38"/>
      <s:c r="T27" s="38"/>
    </s:row>
    <s:row r="28" spans="2:20" s="14" customFormat="1" ht="15" customHeight="1" outlineLevel="3">
      <s:c r="B28" s="615" t="s">
        <s:v>44</s:v>
      </s:c>
      <s:c r="C28" s="616"/>
      <s:c r="D28" s="617"/>
      <s:c r="E28" s="48">
        <s:f ca="1">IFERROR(SUMIF(p_ic_t_ph,E$7,p_ic_t_c),0)</s:f>
        <s:v>0</s:v>
      </s:c>
      <s:c r="F28" s="49">
        <s:f ca="1">IFERROR(SUMIF(p_ic_t_ph,F$7,p_ic_t_c),0)</s:f>
        <s:v>0</s:v>
      </s:c>
      <s:c r="G28" s="49">
        <s:f ca="1">IFERROR(SUMIF(p_ic_t_ph,G$7,p_ic_t_c),0)</s:f>
        <s:v>0</s:v>
      </s:c>
      <s:c r="H28" s="49">
        <s:f ca="1">IFERROR(SUMIF(p_ic_t_ph,H$7,p_ic_t_c),0)</s:f>
        <s:v>0</s:v>
      </s:c>
      <s:c r="I28" s="49">
        <s:f ca="1">IFERROR(SUMIF(p_ic_t_ph,I$7,p_ic_t_c),0)</s:f>
        <s:v>0</s:v>
      </s:c>
      <s:c r="J28" s="49">
        <s:f ca="1">IFERROR(SUMIF(p_ic_t_ph,J$7,p_ic_t_c),0)</s:f>
        <s:v>0</s:v>
      </s:c>
      <s:c r="K28" s="49">
        <s:f ca="1">IFERROR(SUMIF(p_ic_t_ph,K$7,p_ic_t_c),0)</s:f>
        <s:v>0</s:v>
      </s:c>
      <s:c r="L28" s="49">
        <s:f ca="1">IFERROR(SUMIF(p_ic_t_ph,L$7,p_ic_t_c),0)</s:f>
        <s:v>0</s:v>
      </s:c>
      <s:c r="M28" s="50">
        <s:f ca="1">SUM(E28:L28)</s:f>
        <s:v>0</s:v>
      </s:c>
      <s:c r="N28" s="38"/>
      <s:c r="O28" s="38"/>
      <s:c r="P28" s="38"/>
      <s:c r="Q28" s="38"/>
      <s:c r="R28" s="38"/>
      <s:c r="S28" s="38"/>
      <s:c r="T28" s="38"/>
    </s:row>
    <s:row r="29" spans="2:20" s="14" customFormat="1" ht="14.25" customHeight="1" outlineLevel="1">
      <s:c r="B29" s="618" t="s">
        <s:v>46</s:v>
      </s:c>
      <s:c r="C29" s="619"/>
      <s:c r="D29" s="620"/>
      <s:c r="E29" s="55">
        <s:f ca="1">SUM(E30:E32)</s:f>
        <s:v>0</s:v>
      </s:c>
      <s:c r="F29" s="56">
        <s:f ca="1">SUM(F30:F32)</s:f>
        <s:v>0</s:v>
      </s:c>
      <s:c r="G29" s="56">
        <s:f ca="1">SUM(G30:G32)</s:f>
        <s:v>0</s:v>
      </s:c>
      <s:c r="H29" s="56">
        <s:f ca="1">SUM(H30:H32)</s:f>
        <s:v>0</s:v>
      </s:c>
      <s:c r="I29" s="56">
        <s:f ca="1">SUM(I30:I32)</s:f>
        <s:v>0</s:v>
      </s:c>
      <s:c r="J29" s="56">
        <s:f ca="1">SUM(J30:J32)</s:f>
        <s:v>0</s:v>
      </s:c>
      <s:c r="K29" s="56">
        <s:f ca="1">SUM(K30:K32)</s:f>
        <s:v>0</s:v>
      </s:c>
      <s:c r="L29" s="56">
        <s:f ca="1">SUM(L30:L32)</s:f>
        <s:v>0</s:v>
      </s:c>
      <s:c r="M29" s="57">
        <s:f ca="1">SUM(E29:L29)</s:f>
        <s:v>0</s:v>
      </s:c>
      <s:c r="N29" s="38"/>
      <s:c r="O29" s="38"/>
      <s:c r="P29" s="38"/>
      <s:c r="Q29" s="38"/>
      <s:c r="R29" s="38"/>
      <s:c r="S29" s="38"/>
      <s:c r="T29" s="38"/>
    </s:row>
    <s:row r="30" spans="2:20" s="14" customFormat="1" ht="14.25" customHeight="1" outlineLevel="2">
      <s:c r="B30" s="621" t="s">
        <s:v>39</s:v>
      </s:c>
      <s:c r="C30" s="622"/>
      <s:c r="D30" s="623"/>
      <s:c r="E30" s="58">
        <s:f ca="1">E13-E17</s:f>
        <s:v>0</s:v>
      </s:c>
      <s:c r="F30" s="59">
        <s:f ca="1">F13-F17</s:f>
        <s:v>0</s:v>
      </s:c>
      <s:c r="G30" s="59">
        <s:f ca="1">G13-G17</s:f>
        <s:v>0</s:v>
      </s:c>
      <s:c r="H30" s="59">
        <s:f ca="1">H13-H17</s:f>
        <s:v>0</s:v>
      </s:c>
      <s:c r="I30" s="59">
        <s:f ca="1">I13-I17</s:f>
        <s:v>0</s:v>
      </s:c>
      <s:c r="J30" s="59">
        <s:f ca="1">J13-J17</s:f>
        <s:v>0</s:v>
      </s:c>
      <s:c r="K30" s="59">
        <s:f ca="1">K13-K17</s:f>
        <s:v>0</s:v>
      </s:c>
      <s:c r="L30" s="59">
        <s:f ca="1">L13-L17</s:f>
        <s:v>0</s:v>
      </s:c>
      <s:c r="M30" s="60">
        <s:f ca="1">SUM(E30:L30)</s:f>
        <s:v>0</s:v>
      </s:c>
      <s:c r="N30" s="61"/>
      <s:c r="O30" s="38"/>
      <s:c r="P30" s="38"/>
      <s:c r="Q30" s="38"/>
      <s:c r="R30" s="38"/>
      <s:c r="S30" s="38"/>
      <s:c r="T30" s="38"/>
    </s:row>
    <s:row r="31" spans="2:20" s="14" customFormat="1" ht="15" customHeight="1" outlineLevel="2">
      <s:c r="B31" s="621" t="s">
        <s:v>36</s:v>
      </s:c>
      <s:c r="C31" s="622"/>
      <s:c r="D31" s="623"/>
      <s:c r="E31" s="58">
        <s:f ca="1">E14-E21</s:f>
        <s:v>0</s:v>
      </s:c>
      <s:c r="F31" s="59">
        <s:f ca="1">F14-F21</s:f>
        <s:v>0</s:v>
      </s:c>
      <s:c r="G31" s="59">
        <s:f ca="1">G14-G21</s:f>
        <s:v>0</s:v>
      </s:c>
      <s:c r="H31" s="59">
        <s:f ca="1">H14-H21</s:f>
        <s:v>0</s:v>
      </s:c>
      <s:c r="I31" s="59">
        <s:f ca="1">I14-I21</s:f>
        <s:v>0</s:v>
      </s:c>
      <s:c r="J31" s="59">
        <s:f ca="1">J14-J21</s:f>
        <s:v>0</s:v>
      </s:c>
      <s:c r="K31" s="59">
        <s:f ca="1">K14-K21</s:f>
        <s:v>0</s:v>
      </s:c>
      <s:c r="L31" s="59">
        <s:f ca="1">L14-L21</s:f>
        <s:v>0</s:v>
      </s:c>
      <s:c r="M31" s="60">
        <s:f ca="1">SUM(E31:L31)</s:f>
        <s:v>0</s:v>
      </s:c>
      <s:c r="N31" s="61"/>
      <s:c r="O31" s="38"/>
      <s:c r="P31" s="38"/>
      <s:c r="Q31" s="38"/>
      <s:c r="R31" s="38"/>
      <s:c r="S31" s="38"/>
      <s:c r="T31" s="38"/>
    </s:row>
    <s:row r="32" spans="2:20" s="14" customFormat="1" ht="15" customHeight="1" outlineLevel="2">
      <s:c r="B32" s="621" t="s">
        <s:v>37</s:v>
      </s:c>
      <s:c r="C32" s="622"/>
      <s:c r="D32" s="623"/>
      <s:c r="E32" s="58">
        <s:f ca="1">E15-E25</s:f>
        <s:v>0</s:v>
      </s:c>
      <s:c r="F32" s="59">
        <s:f ca="1">F15-F25</s:f>
        <s:v>0</s:v>
      </s:c>
      <s:c r="G32" s="59">
        <s:f ca="1">G15-G25</s:f>
        <s:v>0</s:v>
      </s:c>
      <s:c r="H32" s="59">
        <s:f ca="1">H15-H25</s:f>
        <s:v>0</s:v>
      </s:c>
      <s:c r="I32" s="59">
        <s:f ca="1">I15-I25</s:f>
        <s:v>0</s:v>
      </s:c>
      <s:c r="J32" s="59">
        <s:f ca="1">J15-J25</s:f>
        <s:v>0</s:v>
      </s:c>
      <s:c r="K32" s="59">
        <s:f ca="1">K15-K25</s:f>
        <s:v>0</s:v>
      </s:c>
      <s:c r="L32" s="59">
        <s:f ca="1">L15-L25</s:f>
        <s:v>0</s:v>
      </s:c>
      <s:c r="M32" s="60">
        <s:f ca="1">SUM(E32:L32)</s:f>
        <s:v>0</s:v>
      </s:c>
      <s:c r="N32" s="61"/>
      <s:c r="O32" s="38"/>
      <s:c r="P32" s="38"/>
      <s:c r="Q32" s="38"/>
      <s:c r="R32" s="38"/>
      <s:c r="S32" s="38"/>
      <s:c r="T32" s="38"/>
    </s:row>
    <s:row r="33" spans="2:20" s="14" customFormat="1" ht="15" customHeight="1" outlineLevel="1">
      <s:c r="B33" s="618" t="s">
        <s:v>47</s:v>
      </s:c>
      <s:c r="C33" s="619"/>
      <s:c r="D33" s="620"/>
      <s:c r="E33" s="62" t="str">
        <s:f ca="1">IF(E12&lt;&gt;0,E29/E12,"")</s:f>
        <s:v/>
      </s:c>
      <s:c r="F33" s="63" t="str">
        <s:f ca="1">IF(F12&lt;&gt;0,F29/F12,"")</s:f>
        <s:v/>
      </s:c>
      <s:c r="G33" s="63" t="str">
        <s:f ca="1">IF(G12&lt;&gt;0,G29/G12,"")</s:f>
        <s:v/>
      </s:c>
      <s:c r="H33" s="63" t="str">
        <s:f ca="1">IF(H12&lt;&gt;0,H29/H12,"")</s:f>
        <s:v/>
      </s:c>
      <s:c r="I33" s="63" t="str">
        <s:f ca="1">IF(I12&lt;&gt;0,I29/I12,"")</s:f>
        <s:v/>
      </s:c>
      <s:c r="J33" s="63" t="str">
        <s:f ca="1">IF(J12&lt;&gt;0,J29/J12,"")</s:f>
        <s:v/>
      </s:c>
      <s:c r="K33" s="63" t="str">
        <s:f ca="1">IF(K12&lt;&gt;0,K29/K12,"")</s:f>
        <s:v/>
      </s:c>
      <s:c r="L33" s="63" t="str">
        <s:f ca="1">IF(L12&lt;&gt;0,L29/L12,"")</s:f>
        <s:v/>
      </s:c>
      <s:c r="M33" s="64" t="str">
        <s:f ca="1">IF(M12&lt;&gt;0,M29/M12,"")</s:f>
        <s:v/>
      </s:c>
      <s:c r="N33" s="61"/>
      <s:c r="O33" s="38"/>
      <s:c r="P33" s="38"/>
      <s:c r="Q33" s="38"/>
      <s:c r="R33" s="38"/>
      <s:c r="S33" s="38"/>
      <s:c r="T33" s="38"/>
    </s:row>
    <s:row r="34" spans="2:20" s="14" customFormat="1" ht="14.25" customHeight="1" outlineLevel="2">
      <s:c r="B34" s="621" t="s">
        <s:v>48</s:v>
      </s:c>
      <s:c r="C34" s="622"/>
      <s:c r="D34" s="623"/>
      <s:c r="E34" s="65" t="str">
        <s:f ca="1">IF(E13&lt;&gt;0,E30/E13,"")</s:f>
        <s:v/>
      </s:c>
      <s:c r="F34" s="66" t="str">
        <s:f ca="1">IF(F13&lt;&gt;0,F30/F13,"")</s:f>
        <s:v/>
      </s:c>
      <s:c r="G34" s="66" t="str">
        <s:f ca="1">IF(G13&lt;&gt;0,G30/G13,"")</s:f>
        <s:v/>
      </s:c>
      <s:c r="H34" s="66" t="str">
        <s:f ca="1">IF(H13&lt;&gt;0,H30/H13,"")</s:f>
        <s:v/>
      </s:c>
      <s:c r="I34" s="66" t="str">
        <s:f ca="1">IF(I13&lt;&gt;0,I30/I13,"")</s:f>
        <s:v/>
      </s:c>
      <s:c r="J34" s="66" t="str">
        <s:f ca="1">IF(J13&lt;&gt;0,J30/J13,"")</s:f>
        <s:v/>
      </s:c>
      <s:c r="K34" s="66" t="str">
        <s:f ca="1">IF(K13&lt;&gt;0,K30/K13,"")</s:f>
        <s:v/>
      </s:c>
      <s:c r="L34" s="66" t="str">
        <s:f ca="1">IF(L13&lt;&gt;0,L30/L13,"")</s:f>
        <s:v/>
      </s:c>
      <s:c r="M34" s="67" t="str">
        <s:f ca="1">IF(M13&lt;&gt;0,M30/M13,"")</s:f>
        <s:v/>
      </s:c>
      <s:c r="N34" s="61"/>
      <s:c r="O34" s="38"/>
      <s:c r="P34" s="38"/>
      <s:c r="Q34" s="38"/>
      <s:c r="R34" s="38"/>
      <s:c r="S34" s="38"/>
      <s:c r="T34" s="38"/>
    </s:row>
    <s:row r="35" spans="2:20" s="14" customFormat="1" ht="15" customHeight="1" outlineLevel="2">
      <s:c r="B35" s="621" t="s">
        <s:v>49</s:v>
      </s:c>
      <s:c r="C35" s="622"/>
      <s:c r="D35" s="623"/>
      <s:c r="E35" s="65" t="str">
        <s:f ca="1">IF(E14&lt;&gt;0,E31/E14,"")</s:f>
        <s:v/>
      </s:c>
      <s:c r="F35" s="66" t="str">
        <s:f ca="1">IF(F14&lt;&gt;0,F31/F14,"")</s:f>
        <s:v/>
      </s:c>
      <s:c r="G35" s="66" t="str">
        <s:f ca="1">IF(G14&lt;&gt;0,G31/G14,"")</s:f>
        <s:v/>
      </s:c>
      <s:c r="H35" s="66" t="str">
        <s:f ca="1">IF(H14&lt;&gt;0,H31/H14,"")</s:f>
        <s:v/>
      </s:c>
      <s:c r="I35" s="66" t="str">
        <s:f ca="1">IF(I14&lt;&gt;0,I31/I14,"")</s:f>
        <s:v/>
      </s:c>
      <s:c r="J35" s="66" t="str">
        <s:f ca="1">IF(J14&lt;&gt;0,J31/J14,"")</s:f>
        <s:v/>
      </s:c>
      <s:c r="K35" s="66" t="str">
        <s:f ca="1">IF(K14&lt;&gt;0,K31/K14,"")</s:f>
        <s:v/>
      </s:c>
      <s:c r="L35" s="66" t="str">
        <s:f ca="1">IF(L14&lt;&gt;0,L31/L14,"")</s:f>
        <s:v/>
      </s:c>
      <s:c r="M35" s="67" t="str">
        <s:f ca="1">IF(M14&lt;&gt;0,M31/M14,"")</s:f>
        <s:v/>
      </s:c>
      <s:c r="N35" s="61"/>
      <s:c r="O35" s="38"/>
      <s:c r="P35" s="38"/>
      <s:c r="Q35" s="38"/>
      <s:c r="R35" s="38"/>
      <s:c r="S35" s="38"/>
      <s:c r="T35" s="38"/>
    </s:row>
    <s:row r="36" spans="2:20" s="14" customFormat="1" ht="15" customHeight="1" outlineLevel="2">
      <s:c r="B36" s="624" t="s">
        <s:v>50</s:v>
      </s:c>
      <s:c r="C36" s="625"/>
      <s:c r="D36" s="626"/>
      <s:c r="E36" s="68" t="str">
        <s:f ca="1">IF(E15&lt;&gt;0,E32/E15,"")</s:f>
        <s:v/>
      </s:c>
      <s:c r="F36" s="69" t="str">
        <s:f ca="1">IF(F15&lt;&gt;0,F32/F15,"")</s:f>
        <s:v/>
      </s:c>
      <s:c r="G36" s="69" t="str">
        <s:f ca="1">IF(G15&lt;&gt;0,G32/G15,"")</s:f>
        <s:v/>
      </s:c>
      <s:c r="H36" s="69" t="str">
        <s:f ca="1">IF(H15&lt;&gt;0,H32/H15,"")</s:f>
        <s:v/>
      </s:c>
      <s:c r="I36" s="69" t="str">
        <s:f ca="1">IF(I15&lt;&gt;0,I32/I15,"")</s:f>
        <s:v/>
      </s:c>
      <s:c r="J36" s="69" t="str">
        <s:f ca="1">IF(J15&lt;&gt;0,J32/J15,"")</s:f>
        <s:v/>
      </s:c>
      <s:c r="K36" s="69" t="str">
        <s:f ca="1">IF(K15&lt;&gt;0,K32/K15,"")</s:f>
        <s:v/>
      </s:c>
      <s:c r="L36" s="69" t="str">
        <s:f ca="1">IF(L15&lt;&gt;0,L32/L15,"")</s:f>
        <s:v/>
      </s:c>
      <s:c r="M36" s="70" t="str">
        <s:f ca="1">IF(M15&lt;&gt;0,M32/M15,"")</s:f>
        <s:v/>
      </s:c>
      <s:c r="N36" s="61"/>
      <s:c r="O36" s="38"/>
      <s:c r="P36" s="38"/>
      <s:c r="Q36" s="38"/>
      <s:c r="R36" s="38"/>
      <s:c r="S36" s="38"/>
      <s:c r="T36" s="38"/>
    </s:row>
    <s:row r="37" spans="2:20" s="14" customFormat="1" ht="13.2">
      <s:c r="B37" s="71"/>
      <s:c r="C37" s="71"/>
      <s:c r="D37" s="71"/>
      <s:c r="E37" s="72"/>
      <s:c r="F37" s="72"/>
      <s:c r="G37" s="72"/>
      <s:c r="H37" s="73"/>
      <s:c r="I37" s="61"/>
      <s:c r="J37" s="38"/>
      <s:c r="K37" s="38"/>
      <s:c r="L37" s="38"/>
      <s:c r="M37" s="38"/>
      <s:c r="N37" s="38"/>
      <s:c r="O37" s="38"/>
      <s:c r="P37" s="38"/>
      <s:c r="Q37" s="38"/>
      <s:c r="R37" s="38"/>
      <s:c r="S37" s="38"/>
    </s:row>
    <s:row r="38" spans="2:20" s="74" customFormat="1" ht="16.5" customHeight="1">
      <s:c r="B38" s="29" t="s">
        <s:v>51</s:v>
      </s:c>
      <s:c r="C38" s="29"/>
    </s:row>
    <s:row r="39" spans="2:20" ht="30" customHeight="1" outlineLevel="1">
      <s:c r="B39" s="75" t="s">
        <s:v>52</s:v>
      </s:c>
      <s:c r="C39" s="274" t="s">
        <s:v>122</s:v>
      </s:c>
      <s:c r="D39" s="76" t="s">
        <s:v>53</s:v>
      </s:c>
      <s:c r="E39" s="77" t="s">
        <s:v>16</s:v>
      </s:c>
      <s:c r="F39" s="77" t="s">
        <s:v>54</s:v>
      </s:c>
      <s:c r="G39" s="77" t="s">
        <s:v>55</s:v>
      </s:c>
      <s:c r="H39" s="77" t="s">
        <s:v>56</s:v>
      </s:c>
      <s:c r="I39" s="77" t="s">
        <s:v>57</s:v>
      </s:c>
      <s:c r="J39" s="77" t="s">
        <s:v>58</s:v>
      </s:c>
      <s:c r="K39" s="77" t="s">
        <s:v>40</s:v>
      </s:c>
      <s:c r="L39" s="77" t="s">
        <s:v>59</s:v>
      </s:c>
      <s:c r="M39" s="77" t="s">
        <s:v>60</s:v>
      </s:c>
      <s:c r="N39" s="78" t="s">
        <s:v>38</s:v>
      </s:c>
    </s:row>
    <s:row r="40">
      <s:c r="B40" s="79"/>
      <s:c r="C40" s="79"/>
      <s:c r="D40" s="79"/>
      <s:c r="E40" s="79"/>
      <s:c r="F40" s="79" t="s">
        <s:v>61</s:v>
      </s:c>
      <s:c r="G40" s="79" t="s">
        <s:v>62</s:v>
      </s:c>
      <s:c r="H40" s="79" t="s">
        <s:v>61</s:v>
      </s:c>
      <s:c r="I40" s="79" t="s">
        <s:v>61</s:v>
      </s:c>
      <s:c r="J40" s="79" t="s">
        <s:v>63</s:v>
      </s:c>
      <s:c r="K40" s="79" t="s">
        <s:v>64</s:v>
      </s:c>
      <s:c r="L40" s="79" t="s">
        <s:v>63</s:v>
      </s:c>
      <s:c r="M40" s="80" t="s">
        <s:v>62</s:v>
      </s:c>
      <s:c r="N40" s="79" t="s">
        <s:v>64</s:v>
      </s:c>
    </s:row>
    <s:row r="41" spans="2:20" ht="15.45" customHeight="1" outlineLevel="1">
      <s:c r="B41" s="284" t="s">
        <s:v>32</s:v>
      </s:c>
      <s:c r="C41" s="285"/>
      <s:c r="D41" s="82"/>
      <s:c r="E41" s="83"/>
      <s:c r="F41" s="84"/>
      <s:c r="G41" s="85"/>
      <s:c r="H41" s="86">
        <s:f>(1-G41)*F41</s:f>
        <s:v>0</s:v>
      </s:c>
      <s:c r="I41" s="86">
        <s:f>F41+H41</s:f>
        <s:v>0</s:v>
      </s:c>
      <s:c r="J41" s="49">
        <s:f ca="1">IFERROR(VLOOKUP(E41,r_dt_team,4, FALSE),0)</s:f>
        <s:v>0</s:v>
      </s:c>
      <s:c r="K41" s="87">
        <s:f ca="1">I41*J41</s:f>
        <s:v>0</s:v>
      </s:c>
      <s:c r="L41" s="49">
        <s:f ca="1">IFERROR(VLOOKUP(E41,r_dt_team,5, FALSE),0)</s:f>
        <s:v>0</s:v>
      </s:c>
      <s:c r="M41" s="85"/>
      <s:c r="N41" s="87">
        <s:f ca="1">I41*L41*(1+$B$4)*M41</s:f>
        <s:v>0</s:v>
      </s:c>
    </s:row>
    <s:row r="42" spans="2:20" ht="15.45" customHeight="1" outlineLevel="1">
      <s:c r="B42" s="284" t="s">
        <s:v>32</s:v>
      </s:c>
      <s:c r="C42" s="285"/>
      <s:c r="D42" s="82"/>
      <s:c r="E42" s="83"/>
      <s:c r="F42" s="84"/>
      <s:c r="G42" s="85"/>
      <s:c r="H42" s="86">
        <s:f>(1-G42)*F42</s:f>
        <s:v>0</s:v>
      </s:c>
      <s:c r="I42" s="86">
        <s:f>F42+H42</s:f>
        <s:v>0</s:v>
      </s:c>
      <s:c r="J42" s="49">
        <s:f ca="1">IFERROR(VLOOKUP(E42,r_dt_team,4, FALSE),0)</s:f>
        <s:v>0</s:v>
      </s:c>
      <s:c r="K42" s="87">
        <s:f ca="1">I42*J42</s:f>
        <s:v>0</s:v>
      </s:c>
      <s:c r="L42" s="49">
        <s:f ca="1">IFERROR(VLOOKUP(E42,r_dt_team,5, FALSE),0)</s:f>
        <s:v>0</s:v>
      </s:c>
      <s:c r="M42" s="85"/>
      <s:c r="N42" s="87">
        <s:f ca="1">I42*L42*(1+$B$4)*M42</s:f>
        <s:v>0</s:v>
      </s:c>
    </s:row>
    <s:row r="43" spans="2:20" ht="15.45" customHeight="1" outlineLevel="1">
      <s:c r="B43" s="284" t="s">
        <s:v>32</s:v>
      </s:c>
      <s:c r="C43" s="285"/>
      <s:c r="D43" s="82"/>
      <s:c r="E43" s="83"/>
      <s:c r="F43" s="84"/>
      <s:c r="G43" s="85"/>
      <s:c r="H43" s="86">
        <s:f>(1-G43)*F43</s:f>
        <s:v>0</s:v>
      </s:c>
      <s:c r="I43" s="86">
        <s:f>F43+H43</s:f>
        <s:v>0</s:v>
      </s:c>
      <s:c r="J43" s="49">
        <s:f ca="1">IFERROR(VLOOKUP(E43,r_dt_team,4, FALSE),0)</s:f>
        <s:v>0</s:v>
      </s:c>
      <s:c r="K43" s="87">
        <s:f ca="1">I43*J43</s:f>
        <s:v>0</s:v>
      </s:c>
      <s:c r="L43" s="49">
        <s:f ca="1">IFERROR(VLOOKUP(E43,r_dt_team,5, FALSE),0)</s:f>
        <s:v>0</s:v>
      </s:c>
      <s:c r="M43" s="85"/>
      <s:c r="N43" s="87">
        <s:f ca="1">I43*L43*(1+$B$4)*M43</s:f>
        <s:v>0</s:v>
      </s:c>
    </s:row>
    <s:row r="44" spans="2:20" ht="15.45" customHeight="1" outlineLevel="1">
      <s:c r="B44" s="284" t="s">
        <s:v>32</s:v>
      </s:c>
      <s:c r="C44" s="285"/>
      <s:c r="D44" s="82"/>
      <s:c r="E44" s="83"/>
      <s:c r="F44" s="84"/>
      <s:c r="G44" s="85"/>
      <s:c r="H44" s="86">
        <s:f>(1-G44)*F44</s:f>
        <s:v>0</s:v>
      </s:c>
      <s:c r="I44" s="86">
        <s:f>F44+H44</s:f>
        <s:v>0</s:v>
      </s:c>
      <s:c r="J44" s="49">
        <s:f ca="1">IFERROR(VLOOKUP(E44,r_dt_team,4, FALSE),0)</s:f>
        <s:v>0</s:v>
      </s:c>
      <s:c r="K44" s="87">
        <s:f ca="1">I44*J44</s:f>
        <s:v>0</s:v>
      </s:c>
      <s:c r="L44" s="49">
        <s:f ca="1">IFERROR(VLOOKUP(E44,r_dt_team,5, FALSE),0)</s:f>
        <s:v>0</s:v>
      </s:c>
      <s:c r="M44" s="85"/>
      <s:c r="N44" s="87">
        <s:f ca="1">I44*L44*(1+$B$4)*M44</s:f>
        <s:v>0</s:v>
      </s:c>
    </s:row>
    <s:row r="45" spans="2:20" ht="15.45" customHeight="1" outlineLevel="1">
      <s:c r="B45" s="284" t="s">
        <s:v>32</s:v>
      </s:c>
      <s:c r="C45" s="285"/>
      <s:c r="D45" s="89"/>
      <s:c r="E45" s="83"/>
      <s:c r="F45" s="84"/>
      <s:c r="G45" s="85"/>
      <s:c r="H45" s="86">
        <s:f>(1-G45)*F45</s:f>
        <s:v>0</s:v>
      </s:c>
      <s:c r="I45" s="86">
        <s:f>F45+H45</s:f>
        <s:v>0</s:v>
      </s:c>
      <s:c r="J45" s="49">
        <s:f ca="1">IFERROR(VLOOKUP(E45,r_dt_team,4, FALSE),0)</s:f>
        <s:v>0</s:v>
      </s:c>
      <s:c r="K45" s="87">
        <s:f ca="1">I45*J45</s:f>
        <s:v>0</s:v>
      </s:c>
      <s:c r="L45" s="49">
        <s:f ca="1">IFERROR(VLOOKUP(E45,r_dt_team,5, FALSE),0)</s:f>
        <s:v>0</s:v>
      </s:c>
      <s:c r="M45" s="85"/>
      <s:c r="N45" s="87">
        <s:f ca="1">I45*L45*(1+$B$4)*M45</s:f>
        <s:v>0</s:v>
      </s:c>
    </s:row>
    <s:row r="46" spans="2:20" ht="15.45" customHeight="1" outlineLevel="1">
      <s:c r="B46" s="284" t="s">
        <s:v>33</s:v>
      </s:c>
      <s:c r="C46" s="285"/>
      <s:c r="D46" s="82"/>
      <s:c r="E46" s="83"/>
      <s:c r="F46" s="84"/>
      <s:c r="G46" s="85"/>
      <s:c r="H46" s="86">
        <s:f>(1-G46)*F46</s:f>
        <s:v>0</s:v>
      </s:c>
      <s:c r="I46" s="86">
        <s:f>F46+H46</s:f>
        <s:v>0</s:v>
      </s:c>
      <s:c r="J46" s="49">
        <s:f ca="1">IFERROR(VLOOKUP(E46,r_dt_team,4, FALSE),0)</s:f>
        <s:v>0</s:v>
      </s:c>
      <s:c r="K46" s="87">
        <s:f ca="1">I46*J46</s:f>
        <s:v>0</s:v>
      </s:c>
      <s:c r="L46" s="49">
        <s:f ca="1">IFERROR(VLOOKUP(E46,r_dt_team,5, FALSE),0)</s:f>
        <s:v>0</s:v>
      </s:c>
      <s:c r="M46" s="85"/>
      <s:c r="N46" s="87">
        <s:f ca="1">I46*L46*(1+$B$4)*M46</s:f>
        <s:v>0</s:v>
      </s:c>
    </s:row>
    <s:row r="47" spans="2:20" ht="15.45" customHeight="1" outlineLevel="1">
      <s:c r="B47" s="284" t="s">
        <s:v>33</s:v>
      </s:c>
      <s:c r="C47" s="285"/>
      <s:c r="D47" s="82"/>
      <s:c r="E47" s="83"/>
      <s:c r="F47" s="84"/>
      <s:c r="G47" s="85"/>
      <s:c r="H47" s="86">
        <s:f>(1-G47)*F47</s:f>
        <s:v>0</s:v>
      </s:c>
      <s:c r="I47" s="86">
        <s:f>F47+H47</s:f>
        <s:v>0</s:v>
      </s:c>
      <s:c r="J47" s="49">
        <s:f ca="1">IFERROR(VLOOKUP(E47,r_dt_team,4, FALSE),0)</s:f>
        <s:v>0</s:v>
      </s:c>
      <s:c r="K47" s="87">
        <s:f ca="1">I47*J47</s:f>
        <s:v>0</s:v>
      </s:c>
      <s:c r="L47" s="49">
        <s:f ca="1">IFERROR(VLOOKUP(E47,r_dt_team,5, FALSE),0)</s:f>
        <s:v>0</s:v>
      </s:c>
      <s:c r="M47" s="85"/>
      <s:c r="N47" s="87">
        <s:f ca="1">I47*L47*(1+$B$4)*M47</s:f>
        <s:v>0</s:v>
      </s:c>
    </s:row>
    <s:row r="48" spans="2:20" ht="15.45" customHeight="1" outlineLevel="1">
      <s:c r="B48" s="284" t="s">
        <s:v>33</s:v>
      </s:c>
      <s:c r="C48" s="285"/>
      <s:c r="D48" s="82"/>
      <s:c r="E48" s="83"/>
      <s:c r="F48" s="84"/>
      <s:c r="G48" s="85"/>
      <s:c r="H48" s="86">
        <s:f>(1-G48)*F48</s:f>
        <s:v>0</s:v>
      </s:c>
      <s:c r="I48" s="86">
        <s:f>F48+H48</s:f>
        <s:v>0</s:v>
      </s:c>
      <s:c r="J48" s="49">
        <s:f ca="1">IFERROR(VLOOKUP(E48,r_dt_team,4, FALSE),0)</s:f>
        <s:v>0</s:v>
      </s:c>
      <s:c r="K48" s="87">
        <s:f ca="1">I48*J48</s:f>
        <s:v>0</s:v>
      </s:c>
      <s:c r="L48" s="49">
        <s:f ca="1">IFERROR(VLOOKUP(E48,r_dt_team,5, FALSE),0)</s:f>
        <s:v>0</s:v>
      </s:c>
      <s:c r="M48" s="85"/>
      <s:c r="N48" s="87">
        <s:f ca="1">I48*L48*(1+$B$4)*M48</s:f>
        <s:v>0</s:v>
      </s:c>
    </s:row>
    <s:row r="49" spans="2:14" ht="15.45" customHeight="1" outlineLevel="1">
      <s:c r="B49" s="284" t="s">
        <s:v>33</s:v>
      </s:c>
      <s:c r="C49" s="285"/>
      <s:c r="D49" s="82"/>
      <s:c r="E49" s="83"/>
      <s:c r="F49" s="84"/>
      <s:c r="G49" s="85"/>
      <s:c r="H49" s="86">
        <s:f>(1-G49)*F49</s:f>
        <s:v>0</s:v>
      </s:c>
      <s:c r="I49" s="86">
        <s:f>F49+H49</s:f>
        <s:v>0</s:v>
      </s:c>
      <s:c r="J49" s="49">
        <s:f ca="1">IFERROR(VLOOKUP(E49,r_dt_team,4, FALSE),0)</s:f>
        <s:v>0</s:v>
      </s:c>
      <s:c r="K49" s="87">
        <s:f ca="1">I49*J49</s:f>
        <s:v>0</s:v>
      </s:c>
      <s:c r="L49" s="49">
        <s:f ca="1">IFERROR(VLOOKUP(E49,r_dt_team,5, FALSE),0)</s:f>
        <s:v>0</s:v>
      </s:c>
      <s:c r="M49" s="85"/>
      <s:c r="N49" s="87">
        <s:f ca="1">I49*L49*(1+$B$4)*M49</s:f>
        <s:v>0</s:v>
      </s:c>
    </s:row>
    <s:row r="50" spans="2:14" ht="15.45" customHeight="1" outlineLevel="1">
      <s:c r="B50" s="284" t="s">
        <s:v>33</s:v>
      </s:c>
      <s:c r="C50" s="285"/>
      <s:c r="D50" s="82"/>
      <s:c r="E50" s="83"/>
      <s:c r="F50" s="84"/>
      <s:c r="G50" s="85"/>
      <s:c r="H50" s="86">
        <s:f>(1-G50)*F50</s:f>
        <s:v>0</s:v>
      </s:c>
      <s:c r="I50" s="86">
        <s:f>F50+H50</s:f>
        <s:v>0</s:v>
      </s:c>
      <s:c r="J50" s="49">
        <s:f ca="1">IFERROR(VLOOKUP(E50,r_dt_team,4, FALSE),0)</s:f>
        <s:v>0</s:v>
      </s:c>
      <s:c r="K50" s="87">
        <s:f ca="1">I50*J50</s:f>
        <s:v>0</s:v>
      </s:c>
      <s:c r="L50" s="49">
        <s:f ca="1">IFERROR(VLOOKUP(E50,r_dt_team,5, FALSE),0)</s:f>
        <s:v>0</s:v>
      </s:c>
      <s:c r="M50" s="85"/>
      <s:c r="N50" s="87">
        <s:f ca="1">I50*L50*(1+$B$4)*M50</s:f>
        <s:v>0</s:v>
      </s:c>
    </s:row>
    <s:row r="51" spans="2:14" ht="15.45" customHeight="1" outlineLevel="1">
      <s:c r="B51" s="284" t="s">
        <s:v>33</s:v>
      </s:c>
      <s:c r="C51" s="285"/>
      <s:c r="D51" s="82"/>
      <s:c r="E51" s="83"/>
      <s:c r="F51" s="84"/>
      <s:c r="G51" s="85"/>
      <s:c r="H51" s="86">
        <s:f>(1-G51)*F51</s:f>
        <s:v>0</s:v>
      </s:c>
      <s:c r="I51" s="86">
        <s:f>F51+H51</s:f>
        <s:v>0</s:v>
      </s:c>
      <s:c r="J51" s="49">
        <s:f ca="1">IFERROR(VLOOKUP(E51,r_dt_team,4, FALSE),0)</s:f>
        <s:v>0</s:v>
      </s:c>
      <s:c r="K51" s="87">
        <s:f ca="1">I51*J51</s:f>
        <s:v>0</s:v>
      </s:c>
      <s:c r="L51" s="49">
        <s:f ca="1">IFERROR(VLOOKUP(E51,r_dt_team,5, FALSE),0)</s:f>
        <s:v>0</s:v>
      </s:c>
      <s:c r="M51" s="85"/>
      <s:c r="N51" s="87">
        <s:f ca="1">I51*L51*(1+$B$4)*M51</s:f>
        <s:v>0</s:v>
      </s:c>
    </s:row>
    <s:row r="52" spans="2:14" ht="15.45" customHeight="1" outlineLevel="1">
      <s:c r="B52" s="284" t="s">
        <s:v>33</s:v>
      </s:c>
      <s:c r="C52" s="285"/>
      <s:c r="D52" s="82"/>
      <s:c r="E52" s="83"/>
      <s:c r="F52" s="84"/>
      <s:c r="G52" s="85"/>
      <s:c r="H52" s="86">
        <s:f>(1-G52)*F52</s:f>
        <s:v>0</s:v>
      </s:c>
      <s:c r="I52" s="86">
        <s:f>F52+H52</s:f>
        <s:v>0</s:v>
      </s:c>
      <s:c r="J52" s="49">
        <s:f ca="1">IFERROR(VLOOKUP(E52,r_dt_team,4, FALSE),0)</s:f>
        <s:v>0</s:v>
      </s:c>
      <s:c r="K52" s="87">
        <s:f ca="1">I52*J52</s:f>
        <s:v>0</s:v>
      </s:c>
      <s:c r="L52" s="49">
        <s:f ca="1">IFERROR(VLOOKUP(E52,r_dt_team,5, FALSE),0)</s:f>
        <s:v>0</s:v>
      </s:c>
      <s:c r="M52" s="85"/>
      <s:c r="N52" s="87">
        <s:f ca="1">I52*L52*(1+$B$4)*M52</s:f>
        <s:v>0</s:v>
      </s:c>
    </s:row>
    <s:row r="53" spans="2:14" ht="15.45" customHeight="1" outlineLevel="1">
      <s:c r="B53" s="284" t="s">
        <s:v>33</s:v>
      </s:c>
      <s:c r="C53" s="285"/>
      <s:c r="D53" s="82"/>
      <s:c r="E53" s="83"/>
      <s:c r="F53" s="84"/>
      <s:c r="G53" s="85"/>
      <s:c r="H53" s="86">
        <s:f>(1-G53)*F53</s:f>
        <s:v>0</s:v>
      </s:c>
      <s:c r="I53" s="86">
        <s:f>F53+H53</s:f>
        <s:v>0</s:v>
      </s:c>
      <s:c r="J53" s="49">
        <s:f ca="1">IFERROR(VLOOKUP(E53,r_dt_team,4, FALSE),0)</s:f>
        <s:v>0</s:v>
      </s:c>
      <s:c r="K53" s="87">
        <s:f ca="1">I53*J53</s:f>
        <s:v>0</s:v>
      </s:c>
      <s:c r="L53" s="49">
        <s:f ca="1">IFERROR(VLOOKUP(E53,r_dt_team,5, FALSE),0)</s:f>
        <s:v>0</s:v>
      </s:c>
      <s:c r="M53" s="85"/>
      <s:c r="N53" s="87">
        <s:f ca="1">I53*L53*(1+$B$4)*M53</s:f>
        <s:v>0</s:v>
      </s:c>
    </s:row>
    <s:row r="54" spans="2:14" ht="15.45" customHeight="1" outlineLevel="1">
      <s:c r="B54" s="284" t="s">
        <s:v>33</s:v>
      </s:c>
      <s:c r="C54" s="285"/>
      <s:c r="D54" s="82"/>
      <s:c r="E54" s="83"/>
      <s:c r="F54" s="84"/>
      <s:c r="G54" s="85"/>
      <s:c r="H54" s="86">
        <s:f>(1-G54)*F54</s:f>
        <s:v>0</s:v>
      </s:c>
      <s:c r="I54" s="86">
        <s:f>F54+H54</s:f>
        <s:v>0</s:v>
      </s:c>
      <s:c r="J54" s="49">
        <s:f ca="1">IFERROR(VLOOKUP(E54,r_dt_team,4, FALSE),0)</s:f>
        <s:v>0</s:v>
      </s:c>
      <s:c r="K54" s="87">
        <s:f ca="1">I54*J54</s:f>
        <s:v>0</s:v>
      </s:c>
      <s:c r="L54" s="49">
        <s:f ca="1">IFERROR(VLOOKUP(E54,r_dt_team,5, FALSE),0)</s:f>
        <s:v>0</s:v>
      </s:c>
      <s:c r="M54" s="85"/>
      <s:c r="N54" s="87">
        <s:f ca="1">I54*L54*(1+$B$4)*M54</s:f>
        <s:v>0</s:v>
      </s:c>
    </s:row>
    <s:row r="55" spans="2:14" ht="15.45" customHeight="1" outlineLevel="1">
      <s:c r="B55" s="284" t="s">
        <s:v>33</s:v>
      </s:c>
      <s:c r="C55" s="285"/>
      <s:c r="D55" s="82"/>
      <s:c r="E55" s="83"/>
      <s:c r="F55" s="84"/>
      <s:c r="G55" s="85"/>
      <s:c r="H55" s="86">
        <s:f>(1-G55)*F55</s:f>
        <s:v>0</s:v>
      </s:c>
      <s:c r="I55" s="86">
        <s:f>F55+H55</s:f>
        <s:v>0</s:v>
      </s:c>
      <s:c r="J55" s="49">
        <s:f ca="1">IFERROR(VLOOKUP(E55,r_dt_team,4, FALSE),0)</s:f>
        <s:v>0</s:v>
      </s:c>
      <s:c r="K55" s="87">
        <s:f ca="1">I55*J55</s:f>
        <s:v>0</s:v>
      </s:c>
      <s:c r="L55" s="49">
        <s:f ca="1">IFERROR(VLOOKUP(E55,r_dt_team,5, FALSE),0)</s:f>
        <s:v>0</s:v>
      </s:c>
      <s:c r="M55" s="85"/>
      <s:c r="N55" s="87">
        <s:f ca="1">I55*L55*(1+$B$4)*M55</s:f>
        <s:v>0</s:v>
      </s:c>
    </s:row>
    <s:row r="56" spans="2:14" s="88" customFormat="1" ht="15.45" customHeight="1" outlineLevel="1">
      <s:c r="B56" s="284" t="s">
        <s:v>33</s:v>
      </s:c>
      <s:c r="C56" s="285"/>
      <s:c r="D56" s="89"/>
      <s:c r="E56" s="83"/>
      <s:c r="F56" s="90"/>
      <s:c r="G56" s="91"/>
      <s:c r="H56" s="86">
        <s:f>(1-G56)*F56</s:f>
        <s:v>0</s:v>
      </s:c>
      <s:c r="I56" s="86">
        <s:f>F56+H56</s:f>
        <s:v>0</s:v>
      </s:c>
      <s:c r="J56" s="49">
        <s:f ca="1">IFERROR(VLOOKUP(E56,r_dt_team,4, FALSE),0)</s:f>
        <s:v>0</s:v>
      </s:c>
      <s:c r="K56" s="87">
        <s:f ca="1">I56*J56</s:f>
        <s:v>0</s:v>
      </s:c>
      <s:c r="L56" s="49">
        <s:f ca="1">IFERROR(VLOOKUP(E56,r_dt_team,5, FALSE),0)</s:f>
        <s:v>0</s:v>
      </s:c>
      <s:c r="M56" s="85"/>
      <s:c r="N56" s="87">
        <s:f ca="1">I56*L56*(1+$B$4)*M56</s:f>
        <s:v>0</s:v>
      </s:c>
    </s:row>
    <s:row r="57" spans="2:14" s="88" customFormat="1" ht="15.45" customHeight="1" outlineLevel="1">
      <s:c r="B57" s="284" t="s">
        <s:v>33</s:v>
      </s:c>
      <s:c r="C57" s="285"/>
      <s:c r="D57" s="82"/>
      <s:c r="E57" s="83"/>
      <s:c r="F57" s="84"/>
      <s:c r="G57" s="85"/>
      <s:c r="H57" s="86">
        <s:f>(1-G57)*F57</s:f>
        <s:v>0</s:v>
      </s:c>
      <s:c r="I57" s="86">
        <s:f>F57+H57</s:f>
        <s:v>0</s:v>
      </s:c>
      <s:c r="J57" s="49">
        <s:f ca="1">IFERROR(VLOOKUP(E57,r_dt_team,4, FALSE),0)</s:f>
        <s:v>0</s:v>
      </s:c>
      <s:c r="K57" s="87">
        <s:f ca="1">I57*J57</s:f>
        <s:v>0</s:v>
      </s:c>
      <s:c r="L57" s="49">
        <s:f ca="1">IFERROR(VLOOKUP(E57,r_dt_team,5, FALSE),0)</s:f>
        <s:v>0</s:v>
      </s:c>
      <s:c r="M57" s="85"/>
      <s:c r="N57" s="87">
        <s:f ca="1">I57*L57*(1+$B$4)*M57</s:f>
        <s:v>0</s:v>
      </s:c>
    </s:row>
    <s:row r="58" spans="2:14" ht="15.45" customHeight="1" outlineLevel="1">
      <s:c r="B58" s="284" t="s">
        <s:v>33</s:v>
      </s:c>
      <s:c r="C58" s="285"/>
      <s:c r="D58" s="82"/>
      <s:c r="E58" s="83"/>
      <s:c r="F58" s="84"/>
      <s:c r="G58" s="85"/>
      <s:c r="H58" s="86">
        <s:f>(1-G58)*F58</s:f>
        <s:v>0</s:v>
      </s:c>
      <s:c r="I58" s="86">
        <s:f>F58+H58</s:f>
        <s:v>0</s:v>
      </s:c>
      <s:c r="J58" s="49">
        <s:f ca="1">IFERROR(VLOOKUP(E58,r_dt_team,4, FALSE),0)</s:f>
        <s:v>0</s:v>
      </s:c>
      <s:c r="K58" s="87">
        <s:f ca="1">I58*J58</s:f>
        <s:v>0</s:v>
      </s:c>
      <s:c r="L58" s="49">
        <s:f ca="1">IFERROR(VLOOKUP(E58,r_dt_team,5, FALSE),0)</s:f>
        <s:v>0</s:v>
      </s:c>
      <s:c r="M58" s="85"/>
      <s:c r="N58" s="87">
        <s:f ca="1">I58*L58*(1+$B$4)*M58</s:f>
        <s:v>0</s:v>
      </s:c>
    </s:row>
    <s:row r="59" spans="2:14" s="88" customFormat="1" ht="15.45" customHeight="1" outlineLevel="1">
      <s:c r="B59" s="284" t="s">
        <s:v>33</s:v>
      </s:c>
      <s:c r="C59" s="285"/>
      <s:c r="D59" s="89"/>
      <s:c r="E59" s="83"/>
      <s:c r="F59" s="90"/>
      <s:c r="G59" s="91"/>
      <s:c r="H59" s="86">
        <s:f>(1-G59)*F59</s:f>
        <s:v>0</s:v>
      </s:c>
      <s:c r="I59" s="86">
        <s:f>F59+H59</s:f>
        <s:v>0</s:v>
      </s:c>
      <s:c r="J59" s="49">
        <s:f ca="1">IFERROR(VLOOKUP(E59,r_dt_team,4, FALSE),0)</s:f>
        <s:v>0</s:v>
      </s:c>
      <s:c r="K59" s="87">
        <s:f ca="1">I59*J59</s:f>
        <s:v>0</s:v>
      </s:c>
      <s:c r="L59" s="49">
        <s:f ca="1">IFERROR(VLOOKUP(E59,r_dt_team,5, FALSE),0)</s:f>
        <s:v>0</s:v>
      </s:c>
      <s:c r="M59" s="85"/>
      <s:c r="N59" s="87">
        <s:f ca="1">I59*L59*(1+$B$4)*M59</s:f>
        <s:v>0</s:v>
      </s:c>
    </s:row>
    <s:row r="60" spans="2:14" ht="15.45" customHeight="1" outlineLevel="1">
      <s:c r="B60" s="284" t="s">
        <s:v>33</s:v>
      </s:c>
      <s:c r="C60" s="285"/>
      <s:c r="D60" s="82"/>
      <s:c r="E60" s="83"/>
      <s:c r="F60" s="84"/>
      <s:c r="G60" s="85"/>
      <s:c r="H60" s="86">
        <s:f>(1-G60)*F60</s:f>
        <s:v>0</s:v>
      </s:c>
      <s:c r="I60" s="86">
        <s:f>F60+H60</s:f>
        <s:v>0</s:v>
      </s:c>
      <s:c r="J60" s="49">
        <s:f ca="1">IFERROR(VLOOKUP(E60,r_dt_team,4, FALSE),0)</s:f>
        <s:v>0</s:v>
      </s:c>
      <s:c r="K60" s="87">
        <s:f ca="1">I60*J60</s:f>
        <s:v>0</s:v>
      </s:c>
      <s:c r="L60" s="49">
        <s:f ca="1">IFERROR(VLOOKUP(E60,r_dt_team,5, FALSE),0)</s:f>
        <s:v>0</s:v>
      </s:c>
      <s:c r="M60" s="85"/>
      <s:c r="N60" s="87">
        <s:f ca="1">I60*L60*(1+$B$4)*M60</s:f>
        <s:v>0</s:v>
      </s:c>
    </s:row>
    <s:row r="61" spans="2:14" ht="15.45" customHeight="1" outlineLevel="1">
      <s:c r="B61" s="284" t="s">
        <s:v>33</s:v>
      </s:c>
      <s:c r="C61" s="285"/>
      <s:c r="D61" s="82"/>
      <s:c r="E61" s="83"/>
      <s:c r="F61" s="84"/>
      <s:c r="G61" s="85"/>
      <s:c r="H61" s="86">
        <s:f>(1-G61)*F61</s:f>
        <s:v>0</s:v>
      </s:c>
      <s:c r="I61" s="86">
        <s:f>F61+H61</s:f>
        <s:v>0</s:v>
      </s:c>
      <s:c r="J61" s="49">
        <s:f ca="1">IFERROR(VLOOKUP(E61,r_dt_team,4, FALSE),0)</s:f>
        <s:v>0</s:v>
      </s:c>
      <s:c r="K61" s="87">
        <s:f ca="1">I61*J61</s:f>
        <s:v>0</s:v>
      </s:c>
      <s:c r="L61" s="49">
        <s:f ca="1">IFERROR(VLOOKUP(E61,r_dt_team,5, FALSE),0)</s:f>
        <s:v>0</s:v>
      </s:c>
      <s:c r="M61" s="85"/>
      <s:c r="N61" s="87">
        <s:f ca="1">I61*L61*(1+$B$4)*M61</s:f>
        <s:v>0</s:v>
      </s:c>
    </s:row>
    <s:row r="62" spans="2:14" ht="15.45" customHeight="1" outlineLevel="1">
      <s:c r="B62" s="284" t="s">
        <s:v>33</s:v>
      </s:c>
      <s:c r="C62" s="285"/>
      <s:c r="D62" s="82"/>
      <s:c r="E62" s="83"/>
      <s:c r="F62" s="84"/>
      <s:c r="G62" s="85"/>
      <s:c r="H62" s="86">
        <s:f>(1-G62)*F62</s:f>
        <s:v>0</s:v>
      </s:c>
      <s:c r="I62" s="86">
        <s:f>F62+H62</s:f>
        <s:v>0</s:v>
      </s:c>
      <s:c r="J62" s="49">
        <s:f ca="1">IFERROR(VLOOKUP(E62,r_dt_team,4, FALSE),0)</s:f>
        <s:v>0</s:v>
      </s:c>
      <s:c r="K62" s="87">
        <s:f ca="1">I62*J62</s:f>
        <s:v>0</s:v>
      </s:c>
      <s:c r="L62" s="49">
        <s:f ca="1">IFERROR(VLOOKUP(E62,r_dt_team,5, FALSE),0)</s:f>
        <s:v>0</s:v>
      </s:c>
      <s:c r="M62" s="85"/>
      <s:c r="N62" s="87">
        <s:f ca="1">I62*L62*(1+$B$4)*M62</s:f>
        <s:v>0</s:v>
      </s:c>
    </s:row>
    <s:row r="63" spans="2:14" ht="15.45" customHeight="1" outlineLevel="1">
      <s:c r="B63" s="284" t="s">
        <s:v>33</s:v>
      </s:c>
      <s:c r="C63" s="285"/>
      <s:c r="D63" s="82"/>
      <s:c r="E63" s="83"/>
      <s:c r="F63" s="84"/>
      <s:c r="G63" s="85"/>
      <s:c r="H63" s="86">
        <s:f>(1-G63)*F63</s:f>
        <s:v>0</s:v>
      </s:c>
      <s:c r="I63" s="86">
        <s:f>F63+H63</s:f>
        <s:v>0</s:v>
      </s:c>
      <s:c r="J63" s="49">
        <s:f ca="1">IFERROR(VLOOKUP(E63,r_dt_team,4, FALSE),0)</s:f>
        <s:v>0</s:v>
      </s:c>
      <s:c r="K63" s="87">
        <s:f ca="1">I63*J63</s:f>
        <s:v>0</s:v>
      </s:c>
      <s:c r="L63" s="49">
        <s:f ca="1">IFERROR(VLOOKUP(E63,r_dt_team,5, FALSE),0)</s:f>
        <s:v>0</s:v>
      </s:c>
      <s:c r="M63" s="85"/>
      <s:c r="N63" s="87">
        <s:f ca="1">I63*L63*(1+$B$4)*M63</s:f>
        <s:v>0</s:v>
      </s:c>
    </s:row>
    <s:row r="64" spans="2:14" ht="15.45" customHeight="1" outlineLevel="1">
      <s:c r="B64" s="284" t="s">
        <s:v>33</s:v>
      </s:c>
      <s:c r="C64" s="285"/>
      <s:c r="D64" s="82"/>
      <s:c r="E64" s="83"/>
      <s:c r="F64" s="84"/>
      <s:c r="G64" s="85"/>
      <s:c r="H64" s="86">
        <s:f>(1-G64)*F64</s:f>
        <s:v>0</s:v>
      </s:c>
      <s:c r="I64" s="86">
        <s:f>F64+H64</s:f>
        <s:v>0</s:v>
      </s:c>
      <s:c r="J64" s="49">
        <s:f ca="1">IFERROR(VLOOKUP(E64,r_dt_team,4, FALSE),0)</s:f>
        <s:v>0</s:v>
      </s:c>
      <s:c r="K64" s="87">
        <s:f ca="1">I64*J64</s:f>
        <s:v>0</s:v>
      </s:c>
      <s:c r="L64" s="49">
        <s:f ca="1">IFERROR(VLOOKUP(E64,r_dt_team,5, FALSE),0)</s:f>
        <s:v>0</s:v>
      </s:c>
      <s:c r="M64" s="85"/>
      <s:c r="N64" s="87">
        <s:f ca="1">I64*L64*(1+$B$4)*M64</s:f>
        <s:v>0</s:v>
      </s:c>
    </s:row>
    <s:row r="65" spans="2:16" ht="15.45" customHeight="1" outlineLevel="1">
      <s:c r="B65" s="284" t="s">
        <s:v>33</s:v>
      </s:c>
      <s:c r="C65" s="285"/>
      <s:c r="D65" s="82"/>
      <s:c r="E65" s="83"/>
      <s:c r="F65" s="84"/>
      <s:c r="G65" s="85"/>
      <s:c r="H65" s="86">
        <s:f>(1-G65)*F65</s:f>
        <s:v>0</s:v>
      </s:c>
      <s:c r="I65" s="86">
        <s:f>F65+H65</s:f>
        <s:v>0</s:v>
      </s:c>
      <s:c r="J65" s="49">
        <s:f ca="1">IFERROR(VLOOKUP(E65,r_dt_team,4, FALSE),0)</s:f>
        <s:v>0</s:v>
      </s:c>
      <s:c r="K65" s="87">
        <s:f ca="1">I65*J65</s:f>
        <s:v>0</s:v>
      </s:c>
      <s:c r="L65" s="49">
        <s:f ca="1">IFERROR(VLOOKUP(E65,r_dt_team,5, FALSE),0)</s:f>
        <s:v>0</s:v>
      </s:c>
      <s:c r="M65" s="85"/>
      <s:c r="N65" s="87">
        <s:f ca="1">I65*L65*(1+$B$4)*M65</s:f>
        <s:v>0</s:v>
      </s:c>
    </s:row>
    <s:row r="66" spans="2:16" ht="15.45" customHeight="1" outlineLevel="1">
      <s:c r="B66" s="284" t="s">
        <s:v>33</s:v>
      </s:c>
      <s:c r="C66" s="285"/>
      <s:c r="D66" s="82"/>
      <s:c r="E66" s="83"/>
      <s:c r="F66" s="84"/>
      <s:c r="G66" s="85"/>
      <s:c r="H66" s="86">
        <s:f>(1-G66)*F66</s:f>
        <s:v>0</s:v>
      </s:c>
      <s:c r="I66" s="86">
        <s:f>F66+H66</s:f>
        <s:v>0</s:v>
      </s:c>
      <s:c r="J66" s="49">
        <s:f ca="1">IFERROR(VLOOKUP(E66,r_dt_team,4, FALSE),0)</s:f>
        <s:v>0</s:v>
      </s:c>
      <s:c r="K66" s="87">
        <s:f ca="1">I66*J66</s:f>
        <s:v>0</s:v>
      </s:c>
      <s:c r="L66" s="49">
        <s:f ca="1">IFERROR(VLOOKUP(E66,r_dt_team,5, FALSE),0)</s:f>
        <s:v>0</s:v>
      </s:c>
      <s:c r="M66" s="85"/>
      <s:c r="N66" s="87">
        <s:f ca="1">I66*L66*(1+$B$4)*M66</s:f>
        <s:v>0</s:v>
      </s:c>
    </s:row>
    <s:row r="67" spans="2:16" ht="15.45" customHeight="1" outlineLevel="1">
      <s:c r="B67" s="284" t="s">
        <s:v>33</s:v>
      </s:c>
      <s:c r="C67" s="285"/>
      <s:c r="D67" s="82"/>
      <s:c r="E67" s="83"/>
      <s:c r="F67" s="84"/>
      <s:c r="G67" s="85"/>
      <s:c r="H67" s="86">
        <s:f>(1-G67)*F67</s:f>
        <s:v>0</s:v>
      </s:c>
      <s:c r="I67" s="86">
        <s:f>F67+H67</s:f>
        <s:v>0</s:v>
      </s:c>
      <s:c r="J67" s="49">
        <s:f ca="1">IFERROR(VLOOKUP(E67,r_dt_team,4, FALSE),0)</s:f>
        <s:v>0</s:v>
      </s:c>
      <s:c r="K67" s="87">
        <s:f ca="1">I67*J67</s:f>
        <s:v>0</s:v>
      </s:c>
      <s:c r="L67" s="49">
        <s:f ca="1">IFERROR(VLOOKUP(E67,r_dt_team,5, FALSE),0)</s:f>
        <s:v>0</s:v>
      </s:c>
      <s:c r="M67" s="85"/>
      <s:c r="N67" s="87">
        <s:f ca="1">I67*L67*(1+$B$4)*M67</s:f>
        <s:v>0</s:v>
      </s:c>
    </s:row>
    <s:row r="68" spans="2:16" ht="15.45" customHeight="1" outlineLevel="1">
      <s:c r="B68" s="284" t="s">
        <s:v>33</s:v>
      </s:c>
      <s:c r="C68" s="285"/>
      <s:c r="D68" s="82"/>
      <s:c r="E68" s="83"/>
      <s:c r="F68" s="84"/>
      <s:c r="G68" s="85"/>
      <s:c r="H68" s="86">
        <s:f>(1-G68)*F68</s:f>
        <s:v>0</s:v>
      </s:c>
      <s:c r="I68" s="86">
        <s:f>F68+H68</s:f>
        <s:v>0</s:v>
      </s:c>
      <s:c r="J68" s="49">
        <s:f ca="1">IFERROR(VLOOKUP(E68,r_dt_team,4, FALSE),0)</s:f>
        <s:v>0</s:v>
      </s:c>
      <s:c r="K68" s="87">
        <s:f ca="1">I68*J68</s:f>
        <s:v>0</s:v>
      </s:c>
      <s:c r="L68" s="49">
        <s:f ca="1">IFERROR(VLOOKUP(E68,r_dt_team,5, FALSE),0)</s:f>
        <s:v>0</s:v>
      </s:c>
      <s:c r="M68" s="85"/>
      <s:c r="N68" s="87">
        <s:f ca="1">I68*L68*(1+$B$4)*M68</s:f>
        <s:v>0</s:v>
      </s:c>
    </s:row>
    <s:row r="69" spans="2:16" ht="15.45" customHeight="1" outlineLevel="1">
      <s:c r="B69" s="284" t="s">
        <s:v>33</s:v>
      </s:c>
      <s:c r="C69" s="285"/>
      <s:c r="D69" s="82"/>
      <s:c r="E69" s="83"/>
      <s:c r="F69" s="84"/>
      <s:c r="G69" s="85"/>
      <s:c r="H69" s="86">
        <s:f>(1-G69)*F69</s:f>
        <s:v>0</s:v>
      </s:c>
      <s:c r="I69" s="86">
        <s:f>F69+H69</s:f>
        <s:v>0</s:v>
      </s:c>
      <s:c r="J69" s="49">
        <s:f ca="1">IFERROR(VLOOKUP(E69,r_dt_team,4, FALSE),0)</s:f>
        <s:v>0</s:v>
      </s:c>
      <s:c r="K69" s="87">
        <s:f ca="1">I69*J69</s:f>
        <s:v>0</s:v>
      </s:c>
      <s:c r="L69" s="49">
        <s:f ca="1">IFERROR(VLOOKUP(E69,r_dt_team,5, FALSE),0)</s:f>
        <s:v>0</s:v>
      </s:c>
      <s:c r="M69" s="85"/>
      <s:c r="N69" s="87">
        <s:f ca="1">I69*L69*(1+$B$4)*M69</s:f>
        <s:v>0</s:v>
      </s:c>
    </s:row>
    <s:row r="70" spans="2:16" ht="15.45" customHeight="1" outlineLevel="1">
      <s:c r="B70" s="284" t="s">
        <s:v>33</s:v>
      </s:c>
      <s:c r="C70" s="285"/>
      <s:c r="D70" s="82"/>
      <s:c r="E70" s="83"/>
      <s:c r="F70" s="84"/>
      <s:c r="G70" s="85"/>
      <s:c r="H70" s="86">
        <s:f>(1-G70)*F70</s:f>
        <s:v>0</s:v>
      </s:c>
      <s:c r="I70" s="86">
        <s:f>F70+H70</s:f>
        <s:v>0</s:v>
      </s:c>
      <s:c r="J70" s="49">
        <s:f ca="1">IFERROR(VLOOKUP(E70,r_dt_team,4, FALSE),0)</s:f>
        <s:v>0</s:v>
      </s:c>
      <s:c r="K70" s="87">
        <s:f ca="1">I70*J70</s:f>
        <s:v>0</s:v>
      </s:c>
      <s:c r="L70" s="49">
        <s:f ca="1">IFERROR(VLOOKUP(E70,r_dt_team,5, FALSE),0)</s:f>
        <s:v>0</s:v>
      </s:c>
      <s:c r="M70" s="85"/>
      <s:c r="N70" s="87">
        <s:f ca="1">I70*L70*(1+$B$4)*M70</s:f>
        <s:v>0</s:v>
      </s:c>
    </s:row>
    <s:row r="71" spans="2:16" ht="12.75" customHeight="1" outlineLevel="1">
      <s:c r="B71" s="627" t="s">
        <s:v>65</s:v>
      </s:c>
      <s:c r="C71" s="627"/>
      <s:c r="D71" s="627"/>
      <s:c r="E71" s="627"/>
      <s:c r="F71" s="92">
        <s:f ca="1">IFERROR(SUM(p_dt_c_e),0)</s:f>
        <s:v>0</s:v>
      </s:c>
      <s:c r="G71" s="93" t="str">
        <s:f ca="1">IF(F71&gt;0,1-H71/F71,"-")</s:f>
        <s:v>-</s:v>
      </s:c>
      <s:c r="H71" s="94">
        <s:f ca="1">IFERROR(SUM(p_dt_c_cont),0)</s:f>
        <s:v>0</s:v>
      </s:c>
      <s:c r="I71" s="94">
        <s:f ca="1">IFERROR(SUM(p_dt_c_eff),0)</s:f>
        <s:v>0</s:v>
      </s:c>
      <s:c r="J71" s="95"/>
      <s:c r="K71" s="96">
        <s:f ca="1">IFERROR(SUM(p_dt_c_c),0)</s:f>
        <s:v>0</s:v>
      </s:c>
      <s:c r="L71" s="97">
        <s:f ca="1">IFERROR(VLOOKUP(E71,r_dt_team,5, FALSE),0)</s:f>
        <s:v>0</s:v>
      </s:c>
      <s:c r="M71" s="98"/>
      <s:c r="N71" s="96">
        <s:f ca="1">IFERROR(SUM(p_dt_c_r),0)</s:f>
        <s:v>0</s:v>
      </s:c>
      <s:c r="P71" s="30"/>
    </s:row>
    <s:row r="72" spans="2:16" ht="12.75" customHeight="1" outlineLevel="1">
      <s:c r="B72" s="99"/>
      <s:c r="C72" s="99"/>
      <s:c r="D72" s="99"/>
      <s:c r="E72" s="99"/>
      <s:c r="F72" s="100"/>
      <s:c r="G72" s="101"/>
      <s:c r="H72" s="102"/>
      <s:c r="I72" s="102"/>
      <s:c r="J72" s="30"/>
      <s:c r="K72" s="30"/>
      <s:c r="L72" s="103"/>
      <s:c r="M72" s="103"/>
      <s:c r="N72" s="30"/>
    </s:row>
    <s:row r="73" spans="2:16" s="74" customFormat="1" ht="18" customHeight="1">
      <s:c r="B73" s="29" t="s">
        <s:v>66</s:v>
      </s:c>
      <s:c r="C73" s="29"/>
    </s:row>
    <s:row r="74" spans="2:16" ht="30" customHeight="1" outlineLevel="1">
      <s:c r="B74" s="75" t="s">
        <s:v>52</s:v>
      </s:c>
      <s:c r="C74" s="274" t="s">
        <s:v>122</s:v>
      </s:c>
      <s:c r="D74" s="76" t="s">
        <s:v>53</s:v>
      </s:c>
      <s:c r="E74" s="628" t="s">
        <s:v>67</s:v>
      </s:c>
      <s:c r="F74" s="629"/>
      <s:c r="G74" s="629"/>
      <s:c r="H74" s="630"/>
      <s:c r="I74" s="77" t="s">
        <s:v>54</s:v>
      </s:c>
      <s:c r="J74" s="77" t="s">
        <s:v>68</s:v>
      </s:c>
      <s:c r="K74" s="77" t="s">
        <s:v>69</s:v>
      </s:c>
      <s:c r="L74" s="77" t="s">
        <s:v>70</s:v>
      </s:c>
      <s:c r="M74" s="77" t="s">
        <s:v>60</s:v>
      </s:c>
      <s:c r="N74" s="78" t="s">
        <s:v>38</s:v>
      </s:c>
    </s:row>
    <s:row r="75" spans="2:16" ht="12.75" customHeight="1" outlineLevel="1">
      <s:c r="B75" s="79"/>
      <s:c r="C75" s="79"/>
      <s:c r="D75" s="79"/>
      <s:c r="E75" s="104"/>
      <s:c r="F75" s="105"/>
      <s:c r="G75" s="105"/>
      <s:c r="H75" s="106"/>
      <s:c r="I75" s="79" t="s">
        <s:v>61</s:v>
      </s:c>
      <s:c r="J75" s="79" t="s">
        <s:v>63</s:v>
      </s:c>
      <s:c r="K75" s="79" t="s">
        <s:v>64</s:v>
      </s:c>
      <s:c r="L75" s="79" t="s">
        <s:v>63</s:v>
      </s:c>
      <s:c r="M75" s="80" t="s">
        <s:v>62</s:v>
      </s:c>
      <s:c r="N75" s="79" t="s">
        <s:v>64</s:v>
      </s:c>
    </s:row>
    <s:row r="76" spans="2:16" ht="12" customHeight="1" outlineLevel="1">
      <s:c r="B76" s="284" t="s">
        <s:v>32</s:v>
      </s:c>
      <s:c r="C76" s="285"/>
      <s:c r="D76" s="82"/>
      <s:c r="E76" s="275"/>
      <s:c r="F76" s="276"/>
      <s:c r="G76" s="276"/>
      <s:c r="H76" s="277"/>
      <s:c r="I76" s="107"/>
      <s:c r="J76" s="49">
        <s:f ca="1">IFERROR(VLOOKUP(E76,r_3P_team,2,FALSE),0)</s:f>
        <s:v>0</s:v>
      </s:c>
      <s:c r="K76" s="87">
        <s:f ca="1">I76*J76</s:f>
        <s:v>0</s:v>
      </s:c>
      <s:c r="L76" s="49">
        <s:f ca="1">IFERROR(VLOOKUP(E76,r_3P_team,3,FALSE),0)</s:f>
        <s:v>0</s:v>
      </s:c>
      <s:c r="M76" s="85"/>
      <s:c r="N76" s="87">
        <s:f ca="1">L76*I76*(1+$B$4)*M76</s:f>
        <s:v>0</s:v>
      </s:c>
    </s:row>
    <s:row r="77" spans="2:16" ht="12" customHeight="1" outlineLevel="1">
      <s:c r="B77" s="284" t="s">
        <s:v>32</s:v>
      </s:c>
      <s:c r="C77" s="285"/>
      <s:c r="D77" s="82"/>
      <s:c r="E77" s="275"/>
      <s:c r="F77" s="276"/>
      <s:c r="G77" s="276"/>
      <s:c r="H77" s="277"/>
      <s:c r="I77" s="107"/>
      <s:c r="J77" s="49">
        <s:f ca="1">IFERROR(VLOOKUP(E77,r_3P_team,2,FALSE),0)</s:f>
        <s:v>0</s:v>
      </s:c>
      <s:c r="K77" s="87">
        <s:f ca="1">I77*J77</s:f>
        <s:v>0</s:v>
      </s:c>
      <s:c r="L77" s="49">
        <s:f ca="1">IFERROR(VLOOKUP(E77,r_3P_team,3,FALSE),0)</s:f>
        <s:v>0</s:v>
      </s:c>
      <s:c r="M77" s="85"/>
      <s:c r="N77" s="87">
        <s:f ca="1">L77*I77*(1+$B$4)*M77</s:f>
        <s:v>0</s:v>
      </s:c>
    </s:row>
    <s:row r="78" spans="2:16" ht="12" customHeight="1" outlineLevel="1">
      <s:c r="B78" s="284" t="s">
        <s:v>32</s:v>
      </s:c>
      <s:c r="C78" s="285"/>
      <s:c r="D78" s="82"/>
      <s:c r="E78" s="275"/>
      <s:c r="F78" s="276"/>
      <s:c r="G78" s="276"/>
      <s:c r="H78" s="277"/>
      <s:c r="I78" s="107"/>
      <s:c r="J78" s="49">
        <s:f ca="1">IFERROR(VLOOKUP(E78,r_3P_team,2,FALSE),0)</s:f>
        <s:v>0</s:v>
      </s:c>
      <s:c r="K78" s="87">
        <s:f ca="1">I78*J78</s:f>
        <s:v>0</s:v>
      </s:c>
      <s:c r="L78" s="49">
        <s:f ca="1">IFERROR(VLOOKUP(E78,r_3P_team,3,FALSE),0)</s:f>
        <s:v>0</s:v>
      </s:c>
      <s:c r="M78" s="85"/>
      <s:c r="N78" s="87">
        <s:f ca="1">L78*I78*(1+$B$4)*M78</s:f>
        <s:v>0</s:v>
      </s:c>
    </s:row>
    <s:row r="79" spans="2:16" ht="12" customHeight="1" outlineLevel="1">
      <s:c r="B79" s="284" t="s">
        <s:v>32</s:v>
      </s:c>
      <s:c r="C79" s="285"/>
      <s:c r="D79" s="82"/>
      <s:c r="E79" s="275"/>
      <s:c r="F79" s="276"/>
      <s:c r="G79" s="276"/>
      <s:c r="H79" s="277"/>
      <s:c r="I79" s="107"/>
      <s:c r="J79" s="49">
        <s:f ca="1">IFERROR(VLOOKUP(E79,r_3P_team,2,FALSE),0)</s:f>
        <s:v>0</s:v>
      </s:c>
      <s:c r="K79" s="87">
        <s:f ca="1">I79*J79</s:f>
        <s:v>0</s:v>
      </s:c>
      <s:c r="L79" s="49">
        <s:f ca="1">IFERROR(VLOOKUP(E79,r_3P_team,3,FALSE),0)</s:f>
        <s:v>0</s:v>
      </s:c>
      <s:c r="M79" s="85"/>
      <s:c r="N79" s="87">
        <s:f ca="1">L79*I79*(1+$B$4)*M79</s:f>
        <s:v>0</s:v>
      </s:c>
    </s:row>
    <s:row r="80" spans="2:16" ht="12" customHeight="1" outlineLevel="1">
      <s:c r="B80" s="284" t="s">
        <s:v>32</s:v>
      </s:c>
      <s:c r="C80" s="285"/>
      <s:c r="D80" s="82"/>
      <s:c r="E80" s="275"/>
      <s:c r="F80" s="276"/>
      <s:c r="G80" s="276"/>
      <s:c r="H80" s="277"/>
      <s:c r="I80" s="107"/>
      <s:c r="J80" s="49">
        <s:f ca="1">IFERROR(VLOOKUP(E80,r_3P_team,2,FALSE),0)</s:f>
        <s:v>0</s:v>
      </s:c>
      <s:c r="K80" s="87">
        <s:f ca="1">I80*J80</s:f>
        <s:v>0</s:v>
      </s:c>
      <s:c r="L80" s="49">
        <s:f ca="1">IFERROR(VLOOKUP(E80,r_3P_team,3,FALSE),0)</s:f>
        <s:v>0</s:v>
      </s:c>
      <s:c r="M80" s="85"/>
      <s:c r="N80" s="87">
        <s:f ca="1">L80*I80*(1+$B$4)*M80</s:f>
        <s:v>0</s:v>
      </s:c>
    </s:row>
    <s:row r="81" spans="2:14" ht="12" customHeight="1" outlineLevel="1">
      <s:c r="B81" s="284" t="s">
        <s:v>33</s:v>
      </s:c>
      <s:c r="C81" s="285"/>
      <s:c r="D81" s="82"/>
      <s:c r="E81" s="275"/>
      <s:c r="F81" s="276"/>
      <s:c r="G81" s="276"/>
      <s:c r="H81" s="277"/>
      <s:c r="I81" s="107"/>
      <s:c r="J81" s="49">
        <s:f ca="1">IFERROR(VLOOKUP(E81,r_3P_team,2,FALSE),0)</s:f>
        <s:v>0</s:v>
      </s:c>
      <s:c r="K81" s="87">
        <s:f ca="1">I81*J81</s:f>
        <s:v>0</s:v>
      </s:c>
      <s:c r="L81" s="49">
        <s:f ca="1">IFERROR(VLOOKUP(E81,r_3P_team,3,FALSE),0)</s:f>
        <s:v>0</s:v>
      </s:c>
      <s:c r="M81" s="85"/>
      <s:c r="N81" s="87">
        <s:f ca="1">L81*I81*(1+$B$4)*M81</s:f>
        <s:v>0</s:v>
      </s:c>
    </s:row>
    <s:row r="82" spans="2:14" ht="12" customHeight="1" outlineLevel="1">
      <s:c r="B82" s="284" t="s">
        <s:v>33</s:v>
      </s:c>
      <s:c r="C82" s="285"/>
      <s:c r="D82" s="82"/>
      <s:c r="E82" s="275"/>
      <s:c r="F82" s="276"/>
      <s:c r="G82" s="276"/>
      <s:c r="H82" s="277"/>
      <s:c r="I82" s="107"/>
      <s:c r="J82" s="49">
        <s:f ca="1">IFERROR(VLOOKUP(E82,r_3P_team,2,FALSE),0)</s:f>
        <s:v>0</s:v>
      </s:c>
      <s:c r="K82" s="87">
        <s:f ca="1">I82*J82</s:f>
        <s:v>0</s:v>
      </s:c>
      <s:c r="L82" s="49">
        <s:f ca="1">IFERROR(VLOOKUP(E82,r_3P_team,3,FALSE),0)</s:f>
        <s:v>0</s:v>
      </s:c>
      <s:c r="M82" s="85"/>
      <s:c r="N82" s="87">
        <s:f ca="1">L82*I82*(1+$B$4)*M82</s:f>
        <s:v>0</s:v>
      </s:c>
    </s:row>
    <s:row r="83" spans="2:14" ht="12" customHeight="1" outlineLevel="1">
      <s:c r="B83" s="284" t="s">
        <s:v>33</s:v>
      </s:c>
      <s:c r="C83" s="285"/>
      <s:c r="D83" s="82"/>
      <s:c r="E83" s="275"/>
      <s:c r="F83" s="276"/>
      <s:c r="G83" s="276"/>
      <s:c r="H83" s="277"/>
      <s:c r="I83" s="107"/>
      <s:c r="J83" s="49">
        <s:f ca="1">IFERROR(VLOOKUP(E83,r_3P_team,2,FALSE),0)</s:f>
        <s:v>0</s:v>
      </s:c>
      <s:c r="K83" s="87">
        <s:f ca="1">I83*J83</s:f>
        <s:v>0</s:v>
      </s:c>
      <s:c r="L83" s="49">
        <s:f ca="1">IFERROR(VLOOKUP(E83,r_3P_team,3,FALSE),0)</s:f>
        <s:v>0</s:v>
      </s:c>
      <s:c r="M83" s="85"/>
      <s:c r="N83" s="87">
        <s:f ca="1">L83*I83*(1+$B$4)*M83</s:f>
        <s:v>0</s:v>
      </s:c>
    </s:row>
    <s:row r="84" spans="2:14" ht="12" customHeight="1" outlineLevel="1">
      <s:c r="B84" s="284" t="s">
        <s:v>33</s:v>
      </s:c>
      <s:c r="C84" s="285"/>
      <s:c r="D84" s="82"/>
      <s:c r="E84" s="275"/>
      <s:c r="F84" s="276"/>
      <s:c r="G84" s="276"/>
      <s:c r="H84" s="277"/>
      <s:c r="I84" s="107"/>
      <s:c r="J84" s="49">
        <s:f ca="1">IFERROR(VLOOKUP(E84,r_3P_team,2,FALSE),0)</s:f>
        <s:v>0</s:v>
      </s:c>
      <s:c r="K84" s="87">
        <s:f ca="1">I84*J84</s:f>
        <s:v>0</s:v>
      </s:c>
      <s:c r="L84" s="49">
        <s:f ca="1">IFERROR(VLOOKUP(E84,r_3P_team,3,FALSE),0)</s:f>
        <s:v>0</s:v>
      </s:c>
      <s:c r="M84" s="85"/>
      <s:c r="N84" s="87">
        <s:f ca="1">L84*I84*(1+$B$4)*M84</s:f>
        <s:v>0</s:v>
      </s:c>
    </s:row>
    <s:row r="85" spans="2:14" ht="12" customHeight="1" outlineLevel="1">
      <s:c r="B85" s="284" t="s">
        <s:v>33</s:v>
      </s:c>
      <s:c r="C85" s="285"/>
      <s:c r="D85" s="82"/>
      <s:c r="E85" s="275"/>
      <s:c r="F85" s="276"/>
      <s:c r="G85" s="276"/>
      <s:c r="H85" s="277"/>
      <s:c r="I85" s="107"/>
      <s:c r="J85" s="49">
        <s:f ca="1">IFERROR(VLOOKUP(E85,r_3P_team,2,FALSE),0)</s:f>
        <s:v>0</s:v>
      </s:c>
      <s:c r="K85" s="87">
        <s:f ca="1">I85*J85</s:f>
        <s:v>0</s:v>
      </s:c>
      <s:c r="L85" s="49">
        <s:f ca="1">IFERROR(VLOOKUP(E85,r_3P_team,3,FALSE),0)</s:f>
        <s:v>0</s:v>
      </s:c>
      <s:c r="M85" s="85"/>
      <s:c r="N85" s="87">
        <s:f ca="1">L85*I85*(1+$B$4)*M85</s:f>
        <s:v>0</s:v>
      </s:c>
    </s:row>
    <s:row r="86" spans="2:14" ht="12.75" customHeight="1" outlineLevel="1">
      <s:c r="B86" s="627" t="s">
        <s:v>65</s:v>
      </s:c>
      <s:c r="C86" s="627"/>
      <s:c r="D86" s="627"/>
      <s:c r="E86" s="627"/>
      <s:c r="F86" s="627"/>
      <s:c r="G86" s="627"/>
      <s:c r="H86" s="627"/>
      <s:c r="I86" s="108">
        <s:f ca="1">IFERROR(SUM(p_3p_c_eff),0)</s:f>
        <s:v>0</s:v>
      </s:c>
      <s:c r="J86" s="98" t="s">
        <s:v>71</s:v>
      </s:c>
      <s:c r="K86" s="96">
        <s:f ca="1">IFERROR(SUM(p_3p_c_c),0)</s:f>
        <s:v>0</s:v>
      </s:c>
      <s:c r="L86" s="98" t="s">
        <s:v>71</s:v>
      </s:c>
      <s:c r="M86" s="98"/>
      <s:c r="N86" s="96">
        <s:f ca="1">IFERROR(SUM(p_3p_c_r),0)</s:f>
        <s:v>0</s:v>
      </s:c>
    </s:row>
    <s:row r="87" spans="2:14" ht="12.75" customHeight="1" outlineLevel="1">
      <s:c r="B87" s="99"/>
      <s:c r="C87" s="99"/>
      <s:c r="D87" s="99"/>
      <s:c r="E87" s="99"/>
      <s:c r="F87" s="99"/>
      <s:c r="G87" s="99"/>
      <s:c r="H87" s="99"/>
      <s:c r="I87" s="109"/>
      <s:c r="J87" s="103"/>
      <s:c r="K87" s="30"/>
      <s:c r="L87" s="103"/>
      <s:c r="M87" s="103"/>
      <s:c r="N87" s="30"/>
    </s:row>
    <s:row r="88" spans="2:14" s="74" customFormat="1" ht="18.75" customHeight="1">
      <s:c r="B88" s="29" t="s">
        <s:v>72</s:v>
      </s:c>
      <s:c r="C88" s="29"/>
    </s:row>
    <s:row r="89" spans="2:14" ht="30" customHeight="1" outlineLevel="1">
      <s:c r="B89" s="75" t="s">
        <s:v>52</s:v>
      </s:c>
      <s:c r="C89" s="274" t="s">
        <s:v>122</s:v>
      </s:c>
      <s:c r="D89" s="76" t="s">
        <s:v>53</s:v>
      </s:c>
      <s:c r="E89" s="628" t="s">
        <s:v>73</s:v>
      </s:c>
      <s:c r="F89" s="629"/>
      <s:c r="G89" s="629"/>
      <s:c r="H89" s="630"/>
      <s:c r="I89" s="77" t="s">
        <s:v>54</s:v>
      </s:c>
      <s:c r="J89" s="77" t="s">
        <s:v>68</s:v>
      </s:c>
      <s:c r="K89" s="77" t="s">
        <s:v>69</s:v>
      </s:c>
      <s:c r="L89" s="77" t="s">
        <s:v>70</s:v>
      </s:c>
      <s:c r="M89" s="77" t="s">
        <s:v>60</s:v>
      </s:c>
      <s:c r="N89" s="78" t="s">
        <s:v>38</s:v>
      </s:c>
    </s:row>
    <s:row r="90" spans="2:14" ht="12.75" customHeight="1" outlineLevel="1">
      <s:c r="B90" s="79"/>
      <s:c r="C90" s="79"/>
      <s:c r="D90" s="79"/>
      <s:c r="E90" s="104"/>
      <s:c r="F90" s="105"/>
      <s:c r="G90" s="105"/>
      <s:c r="H90" s="106"/>
      <s:c r="I90" s="79" t="s">
        <s:v>61</s:v>
      </s:c>
      <s:c r="J90" s="79" t="s">
        <s:v>63</s:v>
      </s:c>
      <s:c r="K90" s="79" t="s">
        <s:v>64</s:v>
      </s:c>
      <s:c r="L90" s="79" t="s">
        <s:v>63</s:v>
      </s:c>
      <s:c r="M90" s="80" t="s">
        <s:v>62</s:v>
      </s:c>
      <s:c r="N90" s="79" t="s">
        <s:v>64</s:v>
      </s:c>
    </s:row>
    <s:row r="91" spans="2:14" ht="12" customHeight="1" outlineLevel="1">
      <s:c r="B91" s="284" t="s">
        <s:v>32</s:v>
      </s:c>
      <s:c r="C91" s="285"/>
      <s:c r="D91" s="110"/>
      <s:c r="E91" s="275"/>
      <s:c r="F91" s="276"/>
      <s:c r="G91" s="276"/>
      <s:c r="H91" s="277"/>
      <s:c r="I91" s="107"/>
      <s:c r="J91" s="49">
        <s:f ca="1">IFERROR(VLOOKUP(E91,r_ICteam,2,FALSE),0)</s:f>
        <s:v>0</s:v>
      </s:c>
      <s:c r="K91" s="87">
        <s:f ca="1">I91*J91</s:f>
        <s:v>0</s:v>
      </s:c>
      <s:c r="L91" s="49">
        <s:f ca="1">IFERROR(VLOOKUP(E91,r_ICteam,3,FALSE),0)</s:f>
        <s:v>0</s:v>
      </s:c>
      <s:c r="M91" s="85"/>
      <s:c r="N91" s="87">
        <s:f ca="1">L91*I91*(1+$B$4)*M91</s:f>
        <s:v>0</s:v>
      </s:c>
    </s:row>
    <s:row r="92" spans="2:14" ht="12" customHeight="1" outlineLevel="1">
      <s:c r="B92" s="284"/>
      <s:c r="C92" s="285"/>
      <s:c r="D92" s="110"/>
      <s:c r="E92" s="275"/>
      <s:c r="F92" s="276"/>
      <s:c r="G92" s="276"/>
      <s:c r="H92" s="277"/>
      <s:c r="I92" s="107"/>
      <s:c r="J92" s="49">
        <s:f ca="1">IFERROR(VLOOKUP(E92,r_ICteam,2,FALSE),0)</s:f>
        <s:v>0</s:v>
      </s:c>
      <s:c r="K92" s="87">
        <s:f ca="1">I92*J92</s:f>
        <s:v>0</s:v>
      </s:c>
      <s:c r="L92" s="49">
        <s:f ca="1">IFERROR(VLOOKUP(E92,r_ICteam,3,FALSE),0)</s:f>
        <s:v>0</s:v>
      </s:c>
      <s:c r="M92" s="85"/>
      <s:c r="N92" s="87">
        <s:f ca="1">L92*I92*(1+$B$4)*M92</s:f>
        <s:v>0</s:v>
      </s:c>
    </s:row>
    <s:row r="93" spans="2:14" ht="12" customHeight="1" outlineLevel="1">
      <s:c r="B93" s="284"/>
      <s:c r="C93" s="285"/>
      <s:c r="D93" s="110"/>
      <s:c r="E93" s="275"/>
      <s:c r="F93" s="276"/>
      <s:c r="G93" s="276"/>
      <s:c r="H93" s="277"/>
      <s:c r="I93" s="107"/>
      <s:c r="J93" s="49">
        <s:f ca="1">IFERROR(VLOOKUP(E93,r_ICteam,2,FALSE),0)</s:f>
        <s:v>0</s:v>
      </s:c>
      <s:c r="K93" s="87">
        <s:f ca="1">I93*J93</s:f>
        <s:v>0</s:v>
      </s:c>
      <s:c r="L93" s="49">
        <s:f ca="1">IFERROR(VLOOKUP(E93,r_ICteam,3,FALSE),0)</s:f>
        <s:v>0</s:v>
      </s:c>
      <s:c r="M93" s="85"/>
      <s:c r="N93" s="87">
        <s:f ca="1">L93*I93*(1+$B$4)*M93</s:f>
        <s:v>0</s:v>
      </s:c>
    </s:row>
    <s:row r="94" spans="2:14" ht="12" customHeight="1" outlineLevel="1">
      <s:c r="B94" s="284"/>
      <s:c r="C94" s="285"/>
      <s:c r="D94" s="110"/>
      <s:c r="E94" s="275"/>
      <s:c r="F94" s="276"/>
      <s:c r="G94" s="276"/>
      <s:c r="H94" s="277"/>
      <s:c r="I94" s="107"/>
      <s:c r="J94" s="49">
        <s:f ca="1">IFERROR(VLOOKUP(E94,r_ICteam,2,FALSE),0)</s:f>
        <s:v>0</s:v>
      </s:c>
      <s:c r="K94" s="87">
        <s:f ca="1">I94*J94</s:f>
        <s:v>0</s:v>
      </s:c>
      <s:c r="L94" s="49">
        <s:f ca="1">IFERROR(VLOOKUP(E94,r_ICteam,3,FALSE),0)</s:f>
        <s:v>0</s:v>
      </s:c>
      <s:c r="M94" s="85"/>
      <s:c r="N94" s="87">
        <s:f ca="1">L94*I94*(1+$B$4)*M94</s:f>
        <s:v>0</s:v>
      </s:c>
    </s:row>
    <s:row r="95" spans="2:14" ht="12" customHeight="1" outlineLevel="1">
      <s:c r="B95" s="284"/>
      <s:c r="C95" s="285"/>
      <s:c r="D95" s="110"/>
      <s:c r="E95" s="275"/>
      <s:c r="F95" s="276"/>
      <s:c r="G95" s="276"/>
      <s:c r="H95" s="277"/>
      <s:c r="I95" s="107"/>
      <s:c r="J95" s="49">
        <s:f ca="1">IFERROR(VLOOKUP(E95,r_ICteam,2,FALSE),0)</s:f>
        <s:v>0</s:v>
      </s:c>
      <s:c r="K95" s="87">
        <s:f ca="1">I95*J95</s:f>
        <s:v>0</s:v>
      </s:c>
      <s:c r="L95" s="49">
        <s:f ca="1">IFERROR(VLOOKUP(E95,r_ICteam,3,FALSE),0)</s:f>
        <s:v>0</s:v>
      </s:c>
      <s:c r="M95" s="85"/>
      <s:c r="N95" s="87">
        <s:f ca="1">L95*I95*(1+$B$4)*M95</s:f>
        <s:v>0</s:v>
      </s:c>
    </s:row>
    <s:row r="96" spans="2:14" ht="12" customHeight="1" outlineLevel="1">
      <s:c r="B96" s="284"/>
      <s:c r="C96" s="285"/>
      <s:c r="D96" s="110"/>
      <s:c r="E96" s="275"/>
      <s:c r="F96" s="276"/>
      <s:c r="G96" s="276"/>
      <s:c r="H96" s="277"/>
      <s:c r="I96" s="107"/>
      <s:c r="J96" s="49">
        <s:f ca="1">IFERROR(VLOOKUP(E96,r_ICteam,2,FALSE),0)</s:f>
        <s:v>0</s:v>
      </s:c>
      <s:c r="K96" s="87">
        <s:f ca="1">I96*J96</s:f>
        <s:v>0</s:v>
      </s:c>
      <s:c r="L96" s="49">
        <s:f ca="1">IFERROR(VLOOKUP(E96,r_ICteam,3,FALSE),0)</s:f>
        <s:v>0</s:v>
      </s:c>
      <s:c r="M96" s="85"/>
      <s:c r="N96" s="87">
        <s:f ca="1">L96*I96*(1+$B$4)*M96</s:f>
        <s:v>0</s:v>
      </s:c>
    </s:row>
    <s:row r="97" spans="2:14" ht="12" customHeight="1" outlineLevel="1">
      <s:c r="B97" s="284"/>
      <s:c r="C97" s="285"/>
      <s:c r="D97" s="110"/>
      <s:c r="E97" s="275"/>
      <s:c r="F97" s="276"/>
      <s:c r="G97" s="276"/>
      <s:c r="H97" s="277"/>
      <s:c r="I97" s="107"/>
      <s:c r="J97" s="49">
        <s:f ca="1">IFERROR(VLOOKUP(E97,r_ICteam,2,FALSE),0)</s:f>
        <s:v>0</s:v>
      </s:c>
      <s:c r="K97" s="87">
        <s:f ca="1">I97*J97</s:f>
        <s:v>0</s:v>
      </s:c>
      <s:c r="L97" s="49">
        <s:f ca="1">IFERROR(VLOOKUP(E97,r_ICteam,3,FALSE),0)</s:f>
        <s:v>0</s:v>
      </s:c>
      <s:c r="M97" s="85"/>
      <s:c r="N97" s="87">
        <s:f ca="1">L97*I97*(1+$B$4)*M97</s:f>
        <s:v>0</s:v>
      </s:c>
    </s:row>
    <s:row r="98" spans="2:14" ht="12" customHeight="1" outlineLevel="1">
      <s:c r="B98" s="284"/>
      <s:c r="C98" s="285"/>
      <s:c r="D98" s="110"/>
      <s:c r="E98" s="275"/>
      <s:c r="F98" s="276"/>
      <s:c r="G98" s="276"/>
      <s:c r="H98" s="277"/>
      <s:c r="I98" s="107"/>
      <s:c r="J98" s="49">
        <s:f ca="1">IFERROR(VLOOKUP(E98,r_ICteam,2,FALSE),0)</s:f>
        <s:v>0</s:v>
      </s:c>
      <s:c r="K98" s="87">
        <s:f ca="1">I98*J98</s:f>
        <s:v>0</s:v>
      </s:c>
      <s:c r="L98" s="49">
        <s:f ca="1">IFERROR(VLOOKUP(E98,r_ICteam,3,FALSE),0)</s:f>
        <s:v>0</s:v>
      </s:c>
      <s:c r="M98" s="85"/>
      <s:c r="N98" s="87">
        <s:f ca="1">L98*I98*(1+$B$4)*M98</s:f>
        <s:v>0</s:v>
      </s:c>
    </s:row>
    <s:row r="99" spans="2:14" ht="12" customHeight="1" outlineLevel="1">
      <s:c r="B99" s="284"/>
      <s:c r="C99" s="285"/>
      <s:c r="D99" s="110"/>
      <s:c r="E99" s="275"/>
      <s:c r="F99" s="276"/>
      <s:c r="G99" s="276"/>
      <s:c r="H99" s="277"/>
      <s:c r="I99" s="107"/>
      <s:c r="J99" s="49">
        <s:f ca="1">IFERROR(VLOOKUP(E99,r_ICteam,2,FALSE),0)</s:f>
        <s:v>0</s:v>
      </s:c>
      <s:c r="K99" s="87">
        <s:f ca="1">I99*J99</s:f>
        <s:v>0</s:v>
      </s:c>
      <s:c r="L99" s="49">
        <s:f ca="1">IFERROR(VLOOKUP(E99,r_ICteam,3,FALSE),0)</s:f>
        <s:v>0</s:v>
      </s:c>
      <s:c r="M99" s="85"/>
      <s:c r="N99" s="87">
        <s:f ca="1">L99*I99*(1+$B$4)*M99</s:f>
        <s:v>0</s:v>
      </s:c>
    </s:row>
    <s:row r="100" spans="2:14" ht="12" customHeight="1" outlineLevel="1">
      <s:c r="B100" s="284"/>
      <s:c r="C100" s="285"/>
      <s:c r="D100" s="110"/>
      <s:c r="E100" s="275"/>
      <s:c r="F100" s="276"/>
      <s:c r="G100" s="276"/>
      <s:c r="H100" s="277"/>
      <s:c r="I100" s="107"/>
      <s:c r="J100" s="49">
        <s:f ca="1">IFERROR(VLOOKUP(E100,r_ICteam,2,FALSE),0)</s:f>
        <s:v>0</s:v>
      </s:c>
      <s:c r="K100" s="87">
        <s:f ca="1">I100*J100</s:f>
        <s:v>0</s:v>
      </s:c>
      <s:c r="L100" s="49">
        <s:f ca="1">IFERROR(VLOOKUP(E100,r_ICteam,3,FALSE),0)</s:f>
        <s:v>0</s:v>
      </s:c>
      <s:c r="M100" s="85"/>
      <s:c r="N100" s="87">
        <s:f ca="1">L100*I100*(1+$B$4)*M100</s:f>
        <s:v>0</s:v>
      </s:c>
    </s:row>
    <s:row r="101" spans="2:14" ht="12.75" customHeight="1" outlineLevel="1">
      <s:c r="B101" s="631" t="s">
        <s:v>65</s:v>
      </s:c>
      <s:c r="C101" s="632"/>
      <s:c r="D101" s="632"/>
      <s:c r="E101" s="632"/>
      <s:c r="F101" s="632"/>
      <s:c r="G101" s="632"/>
      <s:c r="H101" s="633"/>
      <s:c r="I101" s="108">
        <s:f ca="1">IFERROR(SUM(p_ic_c_eff),0)</s:f>
        <s:v>0</s:v>
      </s:c>
      <s:c r="J101" s="98" t="s">
        <s:v>71</s:v>
      </s:c>
      <s:c r="K101" s="96">
        <s:f ca="1">IFERROR(SUM(p_ic_c_c),0)</s:f>
        <s:v>0</s:v>
      </s:c>
      <s:c r="L101" s="98" t="s">
        <s:v>71</s:v>
      </s:c>
      <s:c r="M101" s="98"/>
      <s:c r="N101" s="96">
        <s:f ca="1">IFERROR(SUM(p_ic_c_r),0)</s:f>
        <s:v>0</s:v>
      </s:c>
    </s:row>
    <s:row r="102" spans="2:14" ht="12.75" customHeight="1">
      <s:c r="B102" s="99"/>
      <s:c r="C102" s="99"/>
      <s:c r="D102" s="99"/>
      <s:c r="E102" s="99"/>
      <s:c r="F102" s="99"/>
      <s:c r="G102" s="99"/>
      <s:c r="H102" s="99"/>
      <s:c r="I102" s="109"/>
      <s:c r="J102" s="103"/>
      <s:c r="K102" s="30"/>
      <s:c r="L102" s="103"/>
      <s:c r="M102" s="30"/>
    </s:row>
    <s:row r="103" spans="2:14" ht="19.5" customHeight="1">
      <s:c r="B103" s="29" t="s">
        <s:v>74</s:v>
      </s:c>
      <s:c r="C103" s="29"/>
      <s:c r="D103" s="74"/>
      <s:c r="E103" s="74"/>
      <s:c r="F103" s="74"/>
      <s:c r="G103" s="74"/>
      <s:c r="H103" s="74"/>
      <s:c r="I103" s="74"/>
      <s:c r="J103" s="74"/>
    </s:row>
    <s:row r="104" spans="2:14" ht="29.25" customHeight="1" outlineLevel="1">
      <s:c r="B104" s="75" t="s">
        <s:v>52</s:v>
      </s:c>
      <s:c r="C104" s="274" t="s">
        <s:v>122</s:v>
      </s:c>
      <s:c r="D104" s="628" t="s">
        <s:v>53</s:v>
      </s:c>
      <s:c r="E104" s="629"/>
      <s:c r="F104" s="629"/>
      <s:c r="G104" s="630"/>
      <s:c r="H104" s="77" t="s">
        <s:v>69</s:v>
      </s:c>
      <s:c r="I104" s="77" t="s">
        <s:v>60</s:v>
      </s:c>
      <s:c r="J104" s="78" t="s">
        <s:v>38</s:v>
      </s:c>
      <s:c r="K104" s="634" t="s">
        <s:v>75</s:v>
      </s:c>
      <s:c r="L104" s="634"/>
      <s:c r="M104" s="635"/>
    </s:row>
    <s:row r="105" spans="2:14" ht="12.75" customHeight="1" outlineLevel="1">
      <s:c r="B105" s="79"/>
      <s:c r="C105" s="282"/>
      <s:c r="D105" s="111"/>
      <s:c r="E105" s="112"/>
      <s:c r="F105" s="112"/>
      <s:c r="G105" s="112"/>
      <s:c r="H105" s="79" t="s">
        <s:v>64</s:v>
      </s:c>
      <s:c r="I105" s="80" t="s">
        <s:v>62</s:v>
      </s:c>
      <s:c r="J105" s="79" t="s">
        <s:v>64</s:v>
      </s:c>
      <s:c r="K105" s="636"/>
      <s:c r="L105" s="637"/>
      <s:c r="M105" s="638"/>
    </s:row>
    <s:row r="106" spans="2:14" ht="12" customHeight="1" outlineLevel="1">
      <s:c r="B106" s="284"/>
      <s:c r="C106" s="285"/>
      <s:c r="D106" s="639"/>
      <s:c r="E106" s="640"/>
      <s:c r="F106" s="640"/>
      <s:c r="G106" s="641"/>
      <s:c r="H106" s="113"/>
      <s:c r="I106" s="114"/>
      <s:c r="J106" s="87">
        <s:f>H106*I106*(1+$B$4)</s:f>
        <s:v>0</s:v>
      </s:c>
      <s:c r="K106" s="642"/>
      <s:c r="L106" s="643"/>
      <s:c r="M106" s="644"/>
    </s:row>
    <s:row r="107" spans="2:14" ht="12" customHeight="1" outlineLevel="1">
      <s:c r="B107" s="284"/>
      <s:c r="C107" s="285"/>
      <s:c r="D107" s="639"/>
      <s:c r="E107" s="640"/>
      <s:c r="F107" s="640"/>
      <s:c r="G107" s="641"/>
      <s:c r="H107" s="113"/>
      <s:c r="I107" s="114"/>
      <s:c r="J107" s="87">
        <s:f>H107*I107*(1+$B$4)</s:f>
        <s:v>0</s:v>
      </s:c>
      <s:c r="K107" s="645"/>
      <s:c r="L107" s="646"/>
      <s:c r="M107" s="647"/>
    </s:row>
    <s:row r="108" spans="2:14" ht="12" customHeight="1" outlineLevel="1">
      <s:c r="B108" s="284"/>
      <s:c r="C108" s="285"/>
      <s:c r="D108" s="639"/>
      <s:c r="E108" s="640"/>
      <s:c r="F108" s="640"/>
      <s:c r="G108" s="641"/>
      <s:c r="H108" s="113"/>
      <s:c r="I108" s="114"/>
      <s:c r="J108" s="87">
        <s:f>H108*I108*(1+$B$4)</s:f>
        <s:v>0</s:v>
      </s:c>
      <s:c r="K108" s="645"/>
      <s:c r="L108" s="646"/>
      <s:c r="M108" s="647"/>
    </s:row>
    <s:row r="109" spans="2:14" ht="12" customHeight="1" outlineLevel="1">
      <s:c r="B109" s="284"/>
      <s:c r="C109" s="285"/>
      <s:c r="D109" s="639"/>
      <s:c r="E109" s="640"/>
      <s:c r="F109" s="640"/>
      <s:c r="G109" s="641"/>
      <s:c r="H109" s="113"/>
      <s:c r="I109" s="114"/>
      <s:c r="J109" s="87">
        <s:f>H109*I109*(1+$B$4)</s:f>
        <s:v>0</s:v>
      </s:c>
      <s:c r="K109" s="642"/>
      <s:c r="L109" s="643"/>
      <s:c r="M109" s="644"/>
    </s:row>
    <s:row r="110" spans="2:14" ht="12" customHeight="1" outlineLevel="1">
      <s:c r="B110" s="81"/>
      <s:c r="C110" s="283"/>
      <s:c r="D110" s="639"/>
      <s:c r="E110" s="640"/>
      <s:c r="F110" s="640"/>
      <s:c r="G110" s="641"/>
      <s:c r="H110" s="113"/>
      <s:c r="I110" s="114"/>
      <s:c r="J110" s="87">
        <s:f>H110*I110*(1+$B$4)</s:f>
        <s:v>0</s:v>
      </s:c>
      <s:c r="K110" s="642"/>
      <s:c r="L110" s="643"/>
      <s:c r="M110" s="644"/>
    </s:row>
    <s:row r="111" spans="2:14" ht="12" customHeight="1" outlineLevel="1">
      <s:c r="B111" s="648" t="s">
        <s:v>65</s:v>
      </s:c>
      <s:c r="C111" s="648"/>
      <s:c r="D111" s="648"/>
      <s:c r="E111" s="648"/>
      <s:c r="F111" s="648"/>
      <s:c r="G111" s="648"/>
      <s:c r="H111" s="96">
        <s:f ca="1">IFERROR(SUM(p_dt_o_c),0)</s:f>
        <s:v>0</s:v>
      </s:c>
      <s:c r="I111" s="115"/>
      <s:c r="J111" s="96">
        <s:f ca="1">IFERROR(SUM(p_dt_o_r),0)</s:f>
        <s:v>0</s:v>
      </s:c>
      <s:c r="K111" s="74"/>
    </s:row>
    <s:row r="112" spans="2:14" ht="12" customHeight="1" outlineLevel="1">
      <s:c r="B112" s="116"/>
      <s:c r="C112" s="116"/>
      <s:c r="D112" s="116"/>
      <s:c r="E112" s="116"/>
      <s:c r="F112" s="116"/>
      <s:c r="G112" s="116"/>
      <s:c r="H112" s="30"/>
      <s:c r="I112" s="117"/>
      <s:c r="J112" s="30"/>
      <s:c r="K112" s="74"/>
    </s:row>
    <s:row r="113" spans="2:13" ht="17.25" customHeight="1">
      <s:c r="B113" s="29" t="s">
        <s:v>76</s:v>
      </s:c>
      <s:c r="C113" s="29"/>
      <s:c r="D113" s="74"/>
      <s:c r="E113" s="74"/>
      <s:c r="F113" s="74"/>
      <s:c r="G113" s="74"/>
      <s:c r="H113" s="74"/>
      <s:c r="I113" s="74"/>
      <s:c r="J113" s="74"/>
    </s:row>
    <s:row r="114" spans="2:13" ht="27.75" customHeight="1" outlineLevel="1">
      <s:c r="B114" s="75" t="s">
        <s:v>52</s:v>
      </s:c>
      <s:c r="C114" s="274" t="s">
        <s:v>122</s:v>
      </s:c>
      <s:c r="D114" s="76" t="s">
        <s:v>53</s:v>
      </s:c>
      <s:c r="E114" s="649" t="s">
        <s:v>67</s:v>
      </s:c>
      <s:c r="F114" s="649"/>
      <s:c r="G114" s="649"/>
      <s:c r="H114" s="77" t="s">
        <s:v>69</s:v>
      </s:c>
      <s:c r="I114" s="77" t="s">
        <s:v>60</s:v>
      </s:c>
      <s:c r="J114" s="78" t="s">
        <s:v>38</s:v>
      </s:c>
      <s:c r="K114" s="634" t="s">
        <s:v>75</s:v>
      </s:c>
      <s:c r="L114" s="634"/>
      <s:c r="M114" s="635"/>
    </s:row>
    <s:row r="115" spans="2:13" ht="12.75" customHeight="1" outlineLevel="1">
      <s:c r="B115" s="79"/>
      <s:c r="C115" s="79"/>
      <s:c r="D115" s="118"/>
      <s:c r="E115" s="650"/>
      <s:c r="F115" s="651"/>
      <s:c r="G115" s="652"/>
      <s:c r="H115" s="79" t="s">
        <s:v>64</s:v>
      </s:c>
      <s:c r="I115" s="80" t="s">
        <s:v>62</s:v>
      </s:c>
      <s:c r="J115" s="79" t="s">
        <s:v>64</s:v>
      </s:c>
      <s:c r="K115" s="653"/>
      <s:c r="L115" s="653"/>
      <s:c r="M115" s="653"/>
    </s:row>
    <s:row r="116" ht="12">
      <s:c r="B116" s="284"/>
      <s:c r="C116" s="285"/>
      <s:c r="D116" s="120"/>
      <s:c r="E116" s="655"/>
      <s:c r="F116" s="656"/>
      <s:c r="G116" s="657"/>
      <s:c r="H116" s="113"/>
      <s:c r="I116" s="121"/>
      <s:c r="J116" s="87">
        <s:f>H116*I116</s:f>
        <s:v>0</s:v>
      </s:c>
      <s:c r="K116" s="654"/>
      <s:c r="L116" s="654"/>
      <s:c r="M116" s="654"/>
    </s:row>
    <s:row r="117" ht="12">
      <s:c r="B117" s="284"/>
      <s:c r="C117" s="285"/>
      <s:c r="D117" s="120"/>
      <s:c r="E117" s="655"/>
      <s:c r="F117" s="656"/>
      <s:c r="G117" s="657"/>
      <s:c r="H117" s="113"/>
      <s:c r="I117" s="121"/>
      <s:c r="J117" s="87">
        <s:f>H117*I117</s:f>
        <s:v>0</s:v>
      </s:c>
      <s:c r="K117" s="654"/>
      <s:c r="L117" s="654"/>
      <s:c r="M117" s="654"/>
    </s:row>
    <s:row r="118" ht="12">
      <s:c r="B118" s="284"/>
      <s:c r="C118" s="285"/>
      <s:c r="D118" s="120"/>
      <s:c r="E118" s="655"/>
      <s:c r="F118" s="656"/>
      <s:c r="G118" s="657"/>
      <s:c r="H118" s="113"/>
      <s:c r="I118" s="121"/>
      <s:c r="J118" s="87">
        <s:f>H118*I118*(1+$B$4)</s:f>
        <s:v>0</s:v>
      </s:c>
      <s:c r="K118" s="654"/>
      <s:c r="L118" s="654"/>
      <s:c r="M118" s="654"/>
    </s:row>
    <s:row r="119" ht="12">
      <s:c r="B119" s="81"/>
      <s:c r="C119" s="81"/>
      <s:c r="D119" s="120"/>
      <s:c r="E119" s="655"/>
      <s:c r="F119" s="656"/>
      <s:c r="G119" s="657"/>
      <s:c r="H119" s="113"/>
      <s:c r="I119" s="121"/>
      <s:c r="J119" s="87">
        <s:f>H119*I119*(1+$B$4)</s:f>
        <s:v>0</s:v>
      </s:c>
      <s:c r="K119" s="654"/>
      <s:c r="L119" s="654"/>
      <s:c r="M119" s="654"/>
    </s:row>
    <s:row r="120" spans="2:13" ht="12.75" customHeight="1" outlineLevel="1">
      <s:c r="B120" s="648" t="s">
        <s:v>65</s:v>
      </s:c>
      <s:c r="C120" s="648"/>
      <s:c r="D120" s="648"/>
      <s:c r="E120" s="648"/>
      <s:c r="F120" s="648"/>
      <s:c r="G120" s="648"/>
      <s:c r="H120" s="96">
        <s:f ca="1">IFERROR(SUM(p_3p_o_c),0)</s:f>
        <s:v>0</s:v>
      </s:c>
      <s:c r="I120" s="115"/>
      <s:c r="J120" s="96">
        <s:f ca="1">IFERROR(SUM(p_3p_o_r),0)</s:f>
        <s:v>0</s:v>
      </s:c>
    </s:row>
    <s:row r="121" spans="2:13" ht="12.75" customHeight="1" outlineLevel="1">
      <s:c r="B121" s="116"/>
      <s:c r="C121" s="116"/>
      <s:c r="D121" s="116"/>
      <s:c r="E121" s="116"/>
      <s:c r="F121" s="116"/>
      <s:c r="G121" s="116"/>
      <s:c r="H121" s="30"/>
      <s:c r="I121" s="117"/>
      <s:c r="J121" s="30"/>
    </s:row>
    <s:row r="122" spans="2:13" ht="17.25" customHeight="1">
      <s:c r="B122" s="29" t="s">
        <s:v>77</s:v>
      </s:c>
      <s:c r="C122" s="29"/>
      <s:c r="D122" s="29"/>
      <s:c r="E122" s="74"/>
      <s:c r="F122" s="74"/>
      <s:c r="G122" s="74"/>
      <s:c r="H122" s="74"/>
      <s:c r="I122" s="74"/>
      <s:c r="J122" s="74"/>
    </s:row>
    <s:row r="123" spans="2:13" ht="27.75" customHeight="1" outlineLevel="1">
      <s:c r="B123" s="75" t="s">
        <s:v>52</s:v>
      </s:c>
      <s:c r="C123" s="274" t="s">
        <s:v>122</s:v>
      </s:c>
      <s:c r="D123" s="76" t="s">
        <s:v>53</s:v>
      </s:c>
      <s:c r="E123" s="649" t="s">
        <s:v>73</s:v>
      </s:c>
      <s:c r="F123" s="649"/>
      <s:c r="G123" s="649"/>
      <s:c r="H123" s="77" t="s">
        <s:v>69</s:v>
      </s:c>
      <s:c r="I123" s="77" t="s">
        <s:v>60</s:v>
      </s:c>
      <s:c r="J123" s="78" t="s">
        <s:v>38</s:v>
      </s:c>
      <s:c r="K123" s="634" t="s">
        <s:v>75</s:v>
      </s:c>
      <s:c r="L123" s="634"/>
      <s:c r="M123" s="635"/>
    </s:row>
    <s:row r="124" spans="2:13" ht="12.75" customHeight="1" outlineLevel="1">
      <s:c r="B124" s="79"/>
      <s:c r="C124" s="79"/>
      <s:c r="D124" s="118"/>
      <s:c r="E124" s="650"/>
      <s:c r="F124" s="651"/>
      <s:c r="G124" s="652"/>
      <s:c r="H124" s="79" t="s">
        <s:v>64</s:v>
      </s:c>
      <s:c r="I124" s="80" t="s">
        <s:v>62</s:v>
      </s:c>
      <s:c r="J124" s="79" t="s">
        <s:v>64</s:v>
      </s:c>
      <s:c r="K124" s="653"/>
      <s:c r="L124" s="653"/>
      <s:c r="M124" s="653"/>
    </s:row>
    <s:row r="125" ht="12">
      <s:c r="B125" s="284"/>
      <s:c r="C125" s="285"/>
      <s:c r="D125" s="120"/>
      <s:c r="E125" s="658"/>
      <s:c r="F125" s="659"/>
      <s:c r="G125" s="659"/>
      <s:c r="H125" s="113"/>
      <s:c r="I125" s="121"/>
      <s:c r="J125" s="87">
        <s:f>H125*I125*(1+$B$4)</s:f>
        <s:v>0</s:v>
      </s:c>
      <s:c r="K125" s="654"/>
      <s:c r="L125" s="654"/>
      <s:c r="M125" s="654"/>
    </s:row>
    <s:row r="126" ht="12">
      <s:c r="B126" s="284"/>
      <s:c r="C126" s="285"/>
      <s:c r="D126" s="120"/>
      <s:c r="E126" s="658"/>
      <s:c r="F126" s="659"/>
      <s:c r="G126" s="659"/>
      <s:c r="H126" s="113"/>
      <s:c r="I126" s="121"/>
      <s:c r="J126" s="87">
        <s:f>H126*I126*(1+$B$4)</s:f>
        <s:v>0</s:v>
      </s:c>
      <s:c r="K126" s="654"/>
      <s:c r="L126" s="654"/>
      <s:c r="M126" s="654"/>
    </s:row>
    <s:row r="127" ht="12">
      <s:c r="B127" s="284"/>
      <s:c r="C127" s="285"/>
      <s:c r="D127" s="120"/>
      <s:c r="E127" s="658"/>
      <s:c r="F127" s="659"/>
      <s:c r="G127" s="659"/>
      <s:c r="H127" s="113"/>
      <s:c r="I127" s="121"/>
      <s:c r="J127" s="87">
        <s:f>H127*I127*(1+$B$4)</s:f>
        <s:v>0</s:v>
      </s:c>
      <s:c r="K127" s="654"/>
      <s:c r="L127" s="654"/>
      <s:c r="M127" s="654"/>
    </s:row>
    <s:row r="128" ht="12">
      <s:c r="B128" s="81"/>
      <s:c r="C128" s="81"/>
      <s:c r="D128" s="120"/>
      <s:c r="E128" s="658"/>
      <s:c r="F128" s="659"/>
      <s:c r="G128" s="659"/>
      <s:c r="H128" s="113"/>
      <s:c r="I128" s="121"/>
      <s:c r="J128" s="87">
        <s:f>H128*I128*(1+$B$4)</s:f>
        <s:v>0</s:v>
      </s:c>
      <s:c r="K128" s="654"/>
      <s:c r="L128" s="654"/>
      <s:c r="M128" s="654"/>
    </s:row>
    <s:row r="129" ht="12">
      <s:c r="B129" s="81"/>
      <s:c r="C129" s="81"/>
      <s:c r="D129" s="120"/>
      <s:c r="E129" s="658"/>
      <s:c r="F129" s="659"/>
      <s:c r="G129" s="659"/>
      <s:c r="H129" s="113"/>
      <s:c r="I129" s="121"/>
      <s:c r="J129" s="87">
        <s:f>H129*I129*(1+$B$4)</s:f>
        <s:v>0</s:v>
      </s:c>
      <s:c r="K129" s="654"/>
      <s:c r="L129" s="654"/>
      <s:c r="M129" s="654"/>
    </s:row>
    <s:row r="130" spans="2:15" ht="12.75" customHeight="1" outlineLevel="1">
      <s:c r="B130" s="648" t="s">
        <s:v>65</s:v>
      </s:c>
      <s:c r="C130" s="648"/>
      <s:c r="D130" s="648"/>
      <s:c r="E130" s="648"/>
      <s:c r="F130" s="648"/>
      <s:c r="G130" s="648"/>
      <s:c r="H130" s="96">
        <s:f ca="1">IFERROR(SUM(p_ic_o_c),0)</s:f>
        <s:v>0</s:v>
      </s:c>
      <s:c r="I130" s="115"/>
      <s:c r="J130" s="96">
        <s:f ca="1">IFERROR(SUM(p_ic_o_r),0)</s:f>
        <s:v>0</s:v>
      </s:c>
    </s:row>
    <s:row r="131" spans="2:15" ht="12.75" customHeight="1" outlineLevel="1">
      <s:c r="B131" s="116"/>
      <s:c r="C131" s="116"/>
      <s:c r="D131" s="116"/>
      <s:c r="E131" s="116"/>
      <s:c r="F131" s="116"/>
      <s:c r="G131" s="116"/>
      <s:c r="H131" s="30"/>
      <s:c r="I131" s="117"/>
      <s:c r="J131" s="30"/>
    </s:row>
    <s:row r="132" spans="2:15" s="74" customFormat="1" ht="25.5" customHeight="1">
      <s:c r="B132" s="29" t="s">
        <s:v>78</s:v>
      </s:c>
      <s:c r="C132" s="29"/>
    </s:row>
    <s:row r="133" spans="2:15" s="74" customFormat="1" ht="33" customHeight="1" outlineLevel="1">
      <s:c r="B133" s="75" t="s">
        <s:v>52</s:v>
      </s:c>
      <s:c r="C133" s="274" t="s">
        <s:v>122</s:v>
      </s:c>
      <s:c r="D133" s="76" t="s">
        <s:v>79</s:v>
      </s:c>
      <s:c r="E133" s="76" t="s">
        <s:v>80</s:v>
      </s:c>
      <s:c r="F133" s="76" t="s">
        <s:v>81</s:v>
      </s:c>
      <s:c r="G133" s="77" t="s">
        <s:v>69</s:v>
      </s:c>
      <s:c r="H133" s="77" t="s">
        <s:v>60</s:v>
      </s:c>
      <s:c r="I133" s="77" t="s">
        <s:v>38</s:v>
      </s:c>
      <s:c r="J133" s="649" t="s">
        <s:v>82</s:v>
      </s:c>
      <s:c r="K133" s="649"/>
      <s:c r="L133" s="649"/>
      <s:c r="M133" s="649"/>
      <s:c r="N133" s="660"/>
    </s:row>
    <s:row r="134" spans="2:15" s="74" customFormat="1" ht="15" customHeight="1" outlineLevel="1">
      <s:c r="B134" s="119"/>
      <s:c r="C134" s="119"/>
      <s:c r="D134" s="119"/>
      <s:c r="E134" s="122"/>
      <s:c r="F134" s="79" t="s">
        <s:v>64</s:v>
      </s:c>
      <s:c r="G134" s="79" t="s">
        <s:v>64</s:v>
      </s:c>
      <s:c r="H134" s="123" t="s">
        <s:v>62</s:v>
      </s:c>
      <s:c r="I134" s="79" t="s">
        <s:v>64</s:v>
      </s:c>
      <s:c r="J134" s="661"/>
      <s:c r="K134" s="661"/>
      <s:c r="L134" s="661"/>
      <s:c r="M134" s="661"/>
      <s:c r="N134" s="661"/>
    </s:row>
    <s:row r="135" spans="2:15" s="74" customFormat="1" ht="12" outlineLevel="1">
      <s:c r="B135" s="284"/>
      <s:c r="C135" s="285"/>
      <s:c r="D135" s="82"/>
      <s:c r="E135" s="107"/>
      <s:c r="F135" s="113"/>
      <s:c r="G135" s="87">
        <s:f>+F135*E135</s:f>
        <s:v>0</s:v>
      </s:c>
      <s:c r="H135" s="124"/>
      <s:c r="I135" s="87">
        <s:f>G135*H135*(1+$B$4)</s:f>
        <s:v>0</s:v>
      </s:c>
      <s:c r="J135" s="662" t="s">
        <s:v>83</s:v>
      </s:c>
      <s:c r="K135" s="662"/>
      <s:c r="L135" s="662"/>
      <s:c r="M135" s="662"/>
      <s:c r="N135" s="662"/>
    </s:row>
    <s:row r="136" spans="2:15" s="74" customFormat="1" ht="12" outlineLevel="1">
      <s:c r="B136" s="284"/>
      <s:c r="C136" s="285"/>
      <s:c r="D136" s="125"/>
      <s:c r="E136" s="107"/>
      <s:c r="F136" s="113"/>
      <s:c r="G136" s="87">
        <s:f>+F136*E136</s:f>
        <s:v>0</s:v>
      </s:c>
      <s:c r="H136" s="124"/>
      <s:c r="I136" s="87">
        <s:f>G136*H136*(1+$B$4)</s:f>
        <s:v>0</s:v>
      </s:c>
      <s:c r="J136" s="662" t="s">
        <s:v>84</s:v>
      </s:c>
      <s:c r="K136" s="662"/>
      <s:c r="L136" s="662"/>
      <s:c r="M136" s="662"/>
      <s:c r="N136" s="662"/>
      <s:c r="O136" s="126"/>
    </s:row>
    <s:row r="137" spans="2:15" s="74" customFormat="1" ht="12" outlineLevel="1">
      <s:c r="B137" s="284"/>
      <s:c r="C137" s="285"/>
      <s:c r="D137" s="125"/>
      <s:c r="E137" s="107"/>
      <s:c r="F137" s="113"/>
      <s:c r="G137" s="87">
        <s:f>+F137*E137</s:f>
        <s:v>0</s:v>
      </s:c>
      <s:c r="H137" s="124"/>
      <s:c r="I137" s="87">
        <s:f>G137*H137*(1+$B$4)</s:f>
        <s:v>0</s:v>
      </s:c>
      <s:c r="J137" s="662" t="s">
        <s:v>84</s:v>
      </s:c>
      <s:c r="K137" s="662"/>
      <s:c r="L137" s="662"/>
      <s:c r="M137" s="662"/>
      <s:c r="N137" s="662"/>
      <s:c r="O137" s="126"/>
    </s:row>
    <s:row r="138" spans="2:15" s="74" customFormat="1" ht="12" outlineLevel="1">
      <s:c r="B138" s="284"/>
      <s:c r="C138" s="285"/>
      <s:c r="D138" s="125"/>
      <s:c r="E138" s="107"/>
      <s:c r="F138" s="113"/>
      <s:c r="G138" s="87">
        <s:f>+F138*E138</s:f>
        <s:v>0</s:v>
      </s:c>
      <s:c r="H138" s="124"/>
      <s:c r="I138" s="87">
        <s:f>G138*H138*(1+$B$4)</s:f>
        <s:v>0</s:v>
      </s:c>
      <s:c r="J138" s="662" t="s">
        <s:v>85</s:v>
      </s:c>
      <s:c r="K138" s="662"/>
      <s:c r="L138" s="662"/>
      <s:c r="M138" s="662"/>
      <s:c r="N138" s="662"/>
      <s:c r="O138" s="126"/>
    </s:row>
    <s:row r="139" spans="2:15" s="74" customFormat="1" ht="12" outlineLevel="1">
      <s:c r="B139" s="81"/>
      <s:c r="C139" s="81"/>
      <s:c r="D139" s="125"/>
      <s:c r="E139" s="107"/>
      <s:c r="F139" s="113"/>
      <s:c r="G139" s="87">
        <s:f>+F139*E139</s:f>
        <s:v>0</s:v>
      </s:c>
      <s:c r="H139" s="124"/>
      <s:c r="I139" s="87">
        <s:f>G139*H139*(1+$B$4)</s:f>
        <s:v>0</s:v>
      </s:c>
      <s:c r="J139" s="662" t="s">
        <s:v>86</s:v>
      </s:c>
      <s:c r="K139" s="662"/>
      <s:c r="L139" s="662"/>
      <s:c r="M139" s="662"/>
      <s:c r="N139" s="662"/>
      <s:c r="O139" s="126"/>
    </s:row>
    <s:row r="140" spans="2:15" s="74" customFormat="1" ht="12" outlineLevel="1">
      <s:c r="B140" s="81"/>
      <s:c r="C140" s="81"/>
      <s:c r="D140" s="125"/>
      <s:c r="E140" s="107"/>
      <s:c r="F140" s="113"/>
      <s:c r="G140" s="87">
        <s:f>+F140*E140</s:f>
        <s:v>0</s:v>
      </s:c>
      <s:c r="H140" s="124"/>
      <s:c r="I140" s="87">
        <s:f>G140*H140*(1+$B$4)</s:f>
        <s:v>0</s:v>
      </s:c>
      <s:c r="J140" s="662" t="s">
        <s:v>87</s:v>
      </s:c>
      <s:c r="K140" s="662"/>
      <s:c r="L140" s="662"/>
      <s:c r="M140" s="662"/>
      <s:c r="N140" s="662"/>
      <s:c r="O140" s="126"/>
    </s:row>
    <s:row r="141" spans="2:15" s="74" customFormat="1" ht="12" outlineLevel="1">
      <s:c r="B141" s="81"/>
      <s:c r="C141" s="81"/>
      <s:c r="D141" s="125"/>
      <s:c r="E141" s="107"/>
      <s:c r="F141" s="113"/>
      <s:c r="G141" s="87">
        <s:f>+F141*E141</s:f>
        <s:v>0</s:v>
      </s:c>
      <s:c r="H141" s="124"/>
      <s:c r="I141" s="87">
        <s:f>G141*H141*(1+$B$4)</s:f>
        <s:v>0</s:v>
      </s:c>
      <s:c r="J141" s="662" t="s">
        <s:v>88</s:v>
      </s:c>
      <s:c r="K141" s="662"/>
      <s:c r="L141" s="662"/>
      <s:c r="M141" s="662"/>
      <s:c r="N141" s="662"/>
      <s:c r="O141" s="126"/>
    </s:row>
    <s:row r="142" spans="2:15" s="74" customFormat="1" ht="12" customHeight="1" outlineLevel="1">
      <s:c r="B142" s="631" t="s">
        <s:v>65</s:v>
      </s:c>
      <s:c r="C142" s="632"/>
      <s:c r="D142" s="632"/>
      <s:c r="E142" s="632"/>
      <s:c r="F142" s="633"/>
      <s:c r="G142" s="96">
        <s:f ca="1">IFERROR(SUM(p_dt_t_c),0)</s:f>
        <s:v>0</s:v>
      </s:c>
      <s:c r="H142" s="115"/>
      <s:c r="I142" s="96">
        <s:f ca="1">IFERROR(SUM(p_dt_t_r),0)</s:f>
        <s:v>0</s:v>
      </s:c>
      <s:c r="J142" s="663"/>
      <s:c r="K142" s="663"/>
      <s:c r="L142" s="663"/>
      <s:c r="M142" s="663"/>
      <s:c r="N142" s="663"/>
    </s:row>
    <s:row r="143" spans="2:15" s="74" customFormat="1" ht="12" customHeight="1" outlineLevel="1">
      <s:c r="B143" s="99"/>
      <s:c r="C143" s="99"/>
      <s:c r="D143" s="99"/>
      <s:c r="E143" s="99"/>
      <s:c r="F143" s="99"/>
      <s:c r="G143" s="127"/>
      <s:c r="H143" s="117"/>
      <s:c r="I143" s="127"/>
      <s:c r="J143" s="128"/>
      <s:c r="K143" s="128"/>
      <s:c r="L143" s="128"/>
      <s:c r="M143" s="128"/>
      <s:c r="N143" s="128"/>
    </s:row>
    <s:row r="144" spans="2:15" s="74" customFormat="1" ht="18" customHeight="1">
      <s:c r="B144" s="29" t="s">
        <s:v>89</s:v>
      </s:c>
      <s:c r="C144" s="29"/>
    </s:row>
    <s:row r="145" spans="2:15" s="74" customFormat="1" ht="32.25" customHeight="1" outlineLevel="1">
      <s:c r="B145" s="75" t="s">
        <s:v>52</s:v>
      </s:c>
      <s:c r="C145" s="274" t="s">
        <s:v>122</s:v>
      </s:c>
      <s:c r="D145" s="76" t="s">
        <s:v>79</s:v>
      </s:c>
      <s:c r="E145" s="76" t="s">
        <s:v>80</s:v>
      </s:c>
      <s:c r="F145" s="76" t="s">
        <s:v>81</s:v>
      </s:c>
      <s:c r="G145" s="77" t="s">
        <s:v>69</s:v>
      </s:c>
      <s:c r="H145" s="77" t="s">
        <s:v>60</s:v>
      </s:c>
      <s:c r="I145" s="77" t="s">
        <s:v>38</s:v>
      </s:c>
      <s:c r="J145" s="628" t="s">
        <s:v>82</s:v>
      </s:c>
      <s:c r="K145" s="629"/>
      <s:c r="L145" s="629"/>
      <s:c r="M145" s="629"/>
      <s:c r="N145" s="664"/>
    </s:row>
    <s:row r="146" spans="2:15" s="74" customFormat="1" ht="12" outlineLevel="1">
      <s:c r="B146" s="119"/>
      <s:c r="C146" s="119"/>
      <s:c r="D146" s="119"/>
      <s:c r="E146" s="122"/>
      <s:c r="F146" s="79" t="s">
        <s:v>64</s:v>
      </s:c>
      <s:c r="G146" s="79" t="s">
        <s:v>64</s:v>
      </s:c>
      <s:c r="H146" s="123" t="s">
        <s:v>62</s:v>
      </s:c>
      <s:c r="I146" s="79" t="s">
        <s:v>64</s:v>
      </s:c>
      <s:c r="J146" s="661"/>
      <s:c r="K146" s="661"/>
      <s:c r="L146" s="661"/>
      <s:c r="M146" s="661"/>
      <s:c r="N146" s="661"/>
    </s:row>
    <s:row r="147" spans="2:15" s="74" customFormat="1" ht="12" outlineLevel="1">
      <s:c r="B147" s="284"/>
      <s:c r="C147" s="285"/>
      <s:c r="D147" s="82"/>
      <s:c r="E147" s="107"/>
      <s:c r="F147" s="113"/>
      <s:c r="G147" s="87">
        <s:f>+F147*E147</s:f>
        <s:v>0</s:v>
      </s:c>
      <s:c r="H147" s="124"/>
      <s:c r="I147" s="87">
        <s:f>G147*H147*(1+$B$4)</s:f>
        <s:v>0</s:v>
      </s:c>
      <s:c r="J147" s="662" t="s">
        <s:v>83</s:v>
      </s:c>
      <s:c r="K147" s="662"/>
      <s:c r="L147" s="662"/>
      <s:c r="M147" s="662"/>
      <s:c r="N147" s="662"/>
    </s:row>
    <s:row r="148" spans="2:15" s="74" customFormat="1" ht="12" outlineLevel="1">
      <s:c r="B148" s="284"/>
      <s:c r="C148" s="285"/>
      <s:c r="D148" s="82"/>
      <s:c r="E148" s="107"/>
      <s:c r="F148" s="113"/>
      <s:c r="G148" s="87">
        <s:f>+F148*E148</s:f>
        <s:v>0</s:v>
      </s:c>
      <s:c r="H148" s="124"/>
      <s:c r="I148" s="87">
        <s:f>G148*H148*(1+$B$4)</s:f>
        <s:v>0</s:v>
      </s:c>
      <s:c r="J148" s="662" t="s">
        <s:v>83</s:v>
      </s:c>
      <s:c r="K148" s="662"/>
      <s:c r="L148" s="662"/>
      <s:c r="M148" s="662"/>
      <s:c r="N148" s="662"/>
    </s:row>
    <s:row r="149" spans="2:15" s="74" customFormat="1" ht="12" outlineLevel="1">
      <s:c r="B149" s="284"/>
      <s:c r="C149" s="285"/>
      <s:c r="D149" s="125"/>
      <s:c r="E149" s="107"/>
      <s:c r="F149" s="113"/>
      <s:c r="G149" s="87">
        <s:f>+F149*E149</s:f>
        <s:v>0</s:v>
      </s:c>
      <s:c r="H149" s="124"/>
      <s:c r="I149" s="87">
        <s:f>G149*H149*(1+$B$4)</s:f>
        <s:v>0</s:v>
      </s:c>
      <s:c r="J149" s="662" t="s">
        <s:v>84</s:v>
      </s:c>
      <s:c r="K149" s="662"/>
      <s:c r="L149" s="662"/>
      <s:c r="M149" s="662"/>
      <s:c r="N149" s="662"/>
      <s:c r="O149" s="126"/>
    </s:row>
    <s:row r="150" spans="2:15" s="74" customFormat="1" ht="12" outlineLevel="1">
      <s:c r="B150" s="81"/>
      <s:c r="C150" s="81"/>
      <s:c r="D150" s="125"/>
      <s:c r="E150" s="107"/>
      <s:c r="F150" s="113"/>
      <s:c r="G150" s="87">
        <s:f>+F150*E150</s:f>
        <s:v>0</s:v>
      </s:c>
      <s:c r="H150" s="124"/>
      <s:c r="I150" s="87">
        <s:f>G150*H150*(1+$B$4)</s:f>
        <s:v>0</s:v>
      </s:c>
      <s:c r="J150" s="662" t="s">
        <s:v>85</s:v>
      </s:c>
      <s:c r="K150" s="662"/>
      <s:c r="L150" s="662"/>
      <s:c r="M150" s="662"/>
      <s:c r="N150" s="662"/>
      <s:c r="O150" s="126"/>
    </s:row>
    <s:row r="151" spans="2:15" s="74" customFormat="1" ht="12" outlineLevel="1">
      <s:c r="B151" s="81"/>
      <s:c r="C151" s="81"/>
      <s:c r="D151" s="125"/>
      <s:c r="E151" s="107"/>
      <s:c r="F151" s="113"/>
      <s:c r="G151" s="87">
        <s:f>+F151*E151</s:f>
        <s:v>0</s:v>
      </s:c>
      <s:c r="H151" s="124"/>
      <s:c r="I151" s="87">
        <s:f>G151*H151*(1+$B$4)</s:f>
        <s:v>0</s:v>
      </s:c>
      <s:c r="J151" s="662" t="s">
        <s:v>86</s:v>
      </s:c>
      <s:c r="K151" s="662"/>
      <s:c r="L151" s="662"/>
      <s:c r="M151" s="662"/>
      <s:c r="N151" s="662"/>
      <s:c r="O151" s="126"/>
    </s:row>
    <s:row r="152" spans="2:15" s="74" customFormat="1" ht="12" outlineLevel="1">
      <s:c r="B152" s="81"/>
      <s:c r="C152" s="81"/>
      <s:c r="D152" s="125"/>
      <s:c r="E152" s="107"/>
      <s:c r="F152" s="113"/>
      <s:c r="G152" s="87">
        <s:f>+F152*E152</s:f>
        <s:v>0</s:v>
      </s:c>
      <s:c r="H152" s="124"/>
      <s:c r="I152" s="87">
        <s:f>G152*H152*(1+$B$4)</s:f>
        <s:v>0</s:v>
      </s:c>
      <s:c r="J152" s="662" t="s">
        <s:v>87</s:v>
      </s:c>
      <s:c r="K152" s="662"/>
      <s:c r="L152" s="662"/>
      <s:c r="M152" s="662"/>
      <s:c r="N152" s="662"/>
      <s:c r="O152" s="126"/>
    </s:row>
    <s:row r="153" spans="2:15" s="74" customFormat="1" ht="12" outlineLevel="1">
      <s:c r="B153" s="81"/>
      <s:c r="C153" s="81"/>
      <s:c r="D153" s="125"/>
      <s:c r="E153" s="107"/>
      <s:c r="F153" s="113"/>
      <s:c r="G153" s="87">
        <s:f>+F153*E153</s:f>
        <s:v>0</s:v>
      </s:c>
      <s:c r="H153" s="124"/>
      <s:c r="I153" s="87">
        <s:f>G153*H153*(1+$B$4)</s:f>
        <s:v>0</s:v>
      </s:c>
      <s:c r="J153" s="662" t="s">
        <s:v>88</s:v>
      </s:c>
      <s:c r="K153" s="662"/>
      <s:c r="L153" s="662"/>
      <s:c r="M153" s="662"/>
      <s:c r="N153" s="662"/>
      <s:c r="O153" s="126"/>
    </s:row>
    <s:row r="154" spans="2:15" s="74" customFormat="1" ht="12" customHeight="1" outlineLevel="1">
      <s:c r="B154" s="631" t="s">
        <s:v>65</s:v>
      </s:c>
      <s:c r="C154" s="632"/>
      <s:c r="D154" s="632"/>
      <s:c r="E154" s="632"/>
      <s:c r="F154" s="633"/>
      <s:c r="G154" s="96">
        <s:f ca="1">IFERROR(SUM(p_3p_t_c),0)</s:f>
        <s:v>0</s:v>
      </s:c>
      <s:c r="H154" s="115"/>
      <s:c r="I154" s="96">
        <s:f ca="1">IFERROR(SUM(p_3p_t_r),0)</s:f>
        <s:v>0</s:v>
      </s:c>
      <s:c r="J154" s="663"/>
      <s:c r="K154" s="663"/>
      <s:c r="L154" s="663"/>
      <s:c r="M154" s="663"/>
      <s:c r="N154" s="663"/>
    </s:row>
    <s:row r="155" spans="2:15" s="74" customFormat="1" ht="12" customHeight="1" outlineLevel="1">
      <s:c r="B155" s="99"/>
      <s:c r="C155" s="99"/>
      <s:c r="D155" s="99"/>
      <s:c r="E155" s="99"/>
      <s:c r="F155" s="99"/>
      <s:c r="G155" s="127"/>
      <s:c r="H155" s="117"/>
      <s:c r="I155" s="127"/>
      <s:c r="J155" s="128"/>
      <s:c r="K155" s="128"/>
      <s:c r="L155" s="128"/>
      <s:c r="M155" s="128"/>
      <s:c r="N155" s="128"/>
    </s:row>
    <s:row r="156" spans="2:15" s="74" customFormat="1" ht="18" customHeight="1">
      <s:c r="B156" s="29" t="s">
        <s:v>90</s:v>
      </s:c>
      <s:c r="C156" s="29"/>
    </s:row>
    <s:row r="157" spans="2:15" s="74" customFormat="1" ht="32.25" customHeight="1" outlineLevel="1">
      <s:c r="B157" s="75" t="s">
        <s:v>52</s:v>
      </s:c>
      <s:c r="C157" s="274" t="s">
        <s:v>122</s:v>
      </s:c>
      <s:c r="D157" s="76" t="s">
        <s:v>79</s:v>
      </s:c>
      <s:c r="E157" s="76" t="s">
        <s:v>80</s:v>
      </s:c>
      <s:c r="F157" s="76" t="s">
        <s:v>81</s:v>
      </s:c>
      <s:c r="G157" s="77" t="s">
        <s:v>69</s:v>
      </s:c>
      <s:c r="H157" s="77" t="s">
        <s:v>60</s:v>
      </s:c>
      <s:c r="I157" s="77" t="s">
        <s:v>38</s:v>
      </s:c>
      <s:c r="J157" s="649" t="s">
        <s:v>82</s:v>
      </s:c>
      <s:c r="K157" s="649"/>
      <s:c r="L157" s="649"/>
      <s:c r="M157" s="649"/>
      <s:c r="N157" s="660"/>
    </s:row>
    <s:row r="158" spans="2:15" s="74" customFormat="1" ht="12" outlineLevel="1">
      <s:c r="B158" s="119"/>
      <s:c r="C158" s="119"/>
      <s:c r="D158" s="119"/>
      <s:c r="E158" s="122"/>
      <s:c r="F158" s="79" t="s">
        <s:v>64</s:v>
      </s:c>
      <s:c r="G158" s="79" t="s">
        <s:v>64</s:v>
      </s:c>
      <s:c r="H158" s="123" t="s">
        <s:v>62</s:v>
      </s:c>
      <s:c r="I158" s="79" t="s">
        <s:v>64</s:v>
      </s:c>
      <s:c r="J158" s="661"/>
      <s:c r="K158" s="661"/>
      <s:c r="L158" s="661"/>
      <s:c r="M158" s="661"/>
      <s:c r="N158" s="661"/>
    </s:row>
    <s:row r="159" spans="2:15" s="74" customFormat="1" ht="12" outlineLevel="1">
      <s:c r="B159" s="284"/>
      <s:c r="C159" s="285"/>
      <s:c r="D159" s="82"/>
      <s:c r="E159" s="107"/>
      <s:c r="F159" s="113"/>
      <s:c r="G159" s="87">
        <s:f>+F159*E159</s:f>
        <s:v>0</s:v>
      </s:c>
      <s:c r="H159" s="124"/>
      <s:c r="I159" s="87">
        <s:f>G159*H159*(1+$B$4)</s:f>
        <s:v>0</s:v>
      </s:c>
      <s:c r="J159" s="662" t="s">
        <s:v>83</s:v>
      </s:c>
      <s:c r="K159" s="662"/>
      <s:c r="L159" s="662"/>
      <s:c r="M159" s="662"/>
      <s:c r="N159" s="662"/>
    </s:row>
    <s:row r="160" spans="2:15" s="74" customFormat="1" ht="12" outlineLevel="1">
      <s:c r="B160" s="284"/>
      <s:c r="C160" s="285"/>
      <s:c r="D160" s="82"/>
      <s:c r="E160" s="107"/>
      <s:c r="F160" s="113"/>
      <s:c r="G160" s="87">
        <s:f>+F160*E160</s:f>
        <s:v>0</s:v>
      </s:c>
      <s:c r="H160" s="124"/>
      <s:c r="I160" s="87">
        <s:f>G160*H160*(1+$B$4)</s:f>
        <s:v>0</s:v>
      </s:c>
      <s:c r="J160" s="662" t="s">
        <s:v>83</s:v>
      </s:c>
      <s:c r="K160" s="662"/>
      <s:c r="L160" s="662"/>
      <s:c r="M160" s="662"/>
      <s:c r="N160" s="662"/>
    </s:row>
    <s:row r="161" spans="2:15" s="74" customFormat="1" ht="12" outlineLevel="1">
      <s:c r="B161" s="284"/>
      <s:c r="C161" s="285"/>
      <s:c r="D161" s="125"/>
      <s:c r="E161" s="107"/>
      <s:c r="F161" s="113"/>
      <s:c r="G161" s="87">
        <s:f>+F161*E161</s:f>
        <s:v>0</s:v>
      </s:c>
      <s:c r="H161" s="124"/>
      <s:c r="I161" s="87">
        <s:f>G161*H161*(1+$B$4)</s:f>
        <s:v>0</s:v>
      </s:c>
      <s:c r="J161" s="662" t="s">
        <s:v>84</s:v>
      </s:c>
      <s:c r="K161" s="662"/>
      <s:c r="L161" s="662"/>
      <s:c r="M161" s="662"/>
      <s:c r="N161" s="662"/>
      <s:c r="O161" s="126"/>
    </s:row>
    <s:row r="162" spans="2:15" s="74" customFormat="1" ht="12" outlineLevel="1">
      <s:c r="B162" s="81"/>
      <s:c r="C162" s="81"/>
      <s:c r="D162" s="125"/>
      <s:c r="E162" s="107"/>
      <s:c r="F162" s="113"/>
      <s:c r="G162" s="87">
        <s:f>+F162*E162</s:f>
        <s:v>0</s:v>
      </s:c>
      <s:c r="H162" s="124"/>
      <s:c r="I162" s="87">
        <s:f>G162*H162*(1+$B$4)</s:f>
        <s:v>0</s:v>
      </s:c>
      <s:c r="J162" s="662" t="s">
        <s:v>85</s:v>
      </s:c>
      <s:c r="K162" s="662"/>
      <s:c r="L162" s="662"/>
      <s:c r="M162" s="662"/>
      <s:c r="N162" s="662"/>
      <s:c r="O162" s="126"/>
    </s:row>
    <s:row r="163" spans="2:15" s="74" customFormat="1" ht="12" outlineLevel="1">
      <s:c r="B163" s="81"/>
      <s:c r="C163" s="81"/>
      <s:c r="D163" s="125"/>
      <s:c r="E163" s="107"/>
      <s:c r="F163" s="113"/>
      <s:c r="G163" s="87">
        <s:f>+F163*E163</s:f>
        <s:v>0</s:v>
      </s:c>
      <s:c r="H163" s="124"/>
      <s:c r="I163" s="87">
        <s:f>G163*H163*(1+$B$4)</s:f>
        <s:v>0</s:v>
      </s:c>
      <s:c r="J163" s="662" t="s">
        <s:v>86</s:v>
      </s:c>
      <s:c r="K163" s="662"/>
      <s:c r="L163" s="662"/>
      <s:c r="M163" s="662"/>
      <s:c r="N163" s="662"/>
      <s:c r="O163" s="126"/>
    </s:row>
    <s:row r="164" spans="2:15" s="74" customFormat="1" ht="12" outlineLevel="1">
      <s:c r="B164" s="81"/>
      <s:c r="C164" s="81"/>
      <s:c r="D164" s="125"/>
      <s:c r="E164" s="107"/>
      <s:c r="F164" s="113"/>
      <s:c r="G164" s="87">
        <s:f>+F164*E164</s:f>
        <s:v>0</s:v>
      </s:c>
      <s:c r="H164" s="124"/>
      <s:c r="I164" s="87">
        <s:f>G164*H164*(1+$B$4)</s:f>
        <s:v>0</s:v>
      </s:c>
      <s:c r="J164" s="662" t="s">
        <s:v>87</s:v>
      </s:c>
      <s:c r="K164" s="662"/>
      <s:c r="L164" s="662"/>
      <s:c r="M164" s="662"/>
      <s:c r="N164" s="662"/>
      <s:c r="O164" s="126"/>
    </s:row>
    <s:row r="165" spans="2:15" s="74" customFormat="1" ht="12" outlineLevel="1">
      <s:c r="B165" s="81"/>
      <s:c r="C165" s="81"/>
      <s:c r="D165" s="125"/>
      <s:c r="E165" s="107"/>
      <s:c r="F165" s="113"/>
      <s:c r="G165" s="87">
        <s:f>+F165*E165</s:f>
        <s:v>0</s:v>
      </s:c>
      <s:c r="H165" s="124"/>
      <s:c r="I165" s="87">
        <s:f>G165*H165*(1+$B$4)</s:f>
        <s:v>0</s:v>
      </s:c>
      <s:c r="J165" s="662" t="s">
        <s:v>88</s:v>
      </s:c>
      <s:c r="K165" s="662"/>
      <s:c r="L165" s="662"/>
      <s:c r="M165" s="662"/>
      <s:c r="N165" s="662"/>
      <s:c r="O165" s="126"/>
    </s:row>
    <s:row r="166" spans="2:15" s="74" customFormat="1" ht="12" customHeight="1" outlineLevel="1">
      <s:c r="B166" s="631" t="s">
        <s:v>65</s:v>
      </s:c>
      <s:c r="C166" s="632"/>
      <s:c r="D166" s="632"/>
      <s:c r="E166" s="632"/>
      <s:c r="F166" s="633"/>
      <s:c r="G166" s="96">
        <s:f ca="1">IFERROR(SUM(p_ic_t_c),0)</s:f>
        <s:v>0</s:v>
      </s:c>
      <s:c r="H166" s="115"/>
      <s:c r="I166" s="96">
        <s:f ca="1">IFERROR(SUM(p_ic_t_r),0)</s:f>
        <s:v>0</s:v>
      </s:c>
      <s:c r="J166" s="663"/>
      <s:c r="K166" s="663"/>
      <s:c r="L166" s="663"/>
      <s:c r="M166" s="663"/>
      <s:c r="N166" s="663"/>
    </s:row>
    <s:row r="167" spans="2:15" s="74" customFormat="1"/>
    <s:row r="168" spans="2:15" s="74" customFormat="1"/>
  </s:sheetData>
  <s:sheetProtection insertRows="0" deleteRows="0"/>
  <s:mergeCells count="112">
    <s:mergeCell ref="J157:N157"/>
    <s:mergeCell ref="J158:N158"/>
    <s:mergeCell ref="J159:N159"/>
    <s:mergeCell ref="J161:N161"/>
    <s:mergeCell ref="J162:N162"/>
    <s:mergeCell ref="J163:N163"/>
    <s:mergeCell ref="J164:N164"/>
    <s:mergeCell ref="J165:N165"/>
    <s:mergeCell ref="B166:F166"/>
    <s:mergeCell ref="J166:N166"/>
    <s:mergeCell ref="J160:N160"/>
    <s:mergeCell ref="J145:N145"/>
    <s:mergeCell ref="J146:N146"/>
    <s:mergeCell ref="J147:N147"/>
    <s:mergeCell ref="J149:N149"/>
    <s:mergeCell ref="J150:N150"/>
    <s:mergeCell ref="J151:N151"/>
    <s:mergeCell ref="J152:N152"/>
    <s:mergeCell ref="J153:N153"/>
    <s:mergeCell ref="B154:F154"/>
    <s:mergeCell ref="J154:N154"/>
    <s:mergeCell ref="J148:N148"/>
    <s:mergeCell ref="J133:N133"/>
    <s:mergeCell ref="J134:N134"/>
    <s:mergeCell ref="J135:N135"/>
    <s:mergeCell ref="J136:N136"/>
    <s:mergeCell ref="J138:N138"/>
    <s:mergeCell ref="J139:N139"/>
    <s:mergeCell ref="J140:N140"/>
    <s:mergeCell ref="J141:N141"/>
    <s:mergeCell ref="B142:F142"/>
    <s:mergeCell ref="J142:N142"/>
    <s:mergeCell ref="J137:N137"/>
    <s:mergeCell ref="E125:G125"/>
    <s:mergeCell ref="K125:M125"/>
    <s:mergeCell ref="E127:G127"/>
    <s:mergeCell ref="K127:M127"/>
    <s:mergeCell ref="E128:G128"/>
    <s:mergeCell ref="K128:M128"/>
    <s:mergeCell ref="E129:G129"/>
    <s:mergeCell ref="K129:M129"/>
    <s:mergeCell ref="B130:G130"/>
    <s:mergeCell ref="E126:G126"/>
    <s:mergeCell ref="K126:M126"/>
    <s:mergeCell ref="K118:M118"/>
    <s:mergeCell ref="E119:G119"/>
    <s:mergeCell ref="K119:M119"/>
    <s:mergeCell ref="B120:G120"/>
    <s:mergeCell ref="E123:G123"/>
    <s:mergeCell ref="K123:M123"/>
    <s:mergeCell ref="E124:G124"/>
    <s:mergeCell ref="K124:M124"/>
    <s:mergeCell ref="K117:M117"/>
    <s:mergeCell ref="E117:G117"/>
    <s:mergeCell ref="E118:G118"/>
    <s:mergeCell ref="D110:G110"/>
    <s:mergeCell ref="K110:M110"/>
    <s:mergeCell ref="B111:G111"/>
    <s:mergeCell ref="E114:G114"/>
    <s:mergeCell ref="K114:M114"/>
    <s:mergeCell ref="E115:G115"/>
    <s:mergeCell ref="K115:M115"/>
    <s:mergeCell ref="K116:M116"/>
    <s:mergeCell ref="E116:G116"/>
    <s:mergeCell ref="B101:H101"/>
    <s:mergeCell ref="D104:G104"/>
    <s:mergeCell ref="K104:M104"/>
    <s:mergeCell ref="K105:M105"/>
    <s:mergeCell ref="D106:G106"/>
    <s:mergeCell ref="K106:M106"/>
    <s:mergeCell ref="D107:G107"/>
    <s:mergeCell ref="K107:M107"/>
    <s:mergeCell ref="D109:G109"/>
    <s:mergeCell ref="K109:M109"/>
    <s:mergeCell ref="D108:G108"/>
    <s:mergeCell ref="K108:M108"/>
    <s:mergeCell ref="B32:D32"/>
    <s:mergeCell ref="B33:D33"/>
    <s:mergeCell ref="B34:D34"/>
    <s:mergeCell ref="B35:D35"/>
    <s:mergeCell ref="B36:D36"/>
    <s:mergeCell ref="B71:E71"/>
    <s:mergeCell ref="E74:H74"/>
    <s:mergeCell ref="B86:H86"/>
    <s:mergeCell ref="E89:H89"/>
    <s:mergeCell ref="B23:D23"/>
    <s:mergeCell ref="B24:D24"/>
    <s:mergeCell ref="B25:D25"/>
    <s:mergeCell ref="B26:D26"/>
    <s:mergeCell ref="B27:D27"/>
    <s:mergeCell ref="B28:D28"/>
    <s:mergeCell ref="B29:D29"/>
    <s:mergeCell ref="B30:D30"/>
    <s:mergeCell ref="B31:D31"/>
    <s:mergeCell ref="B14:D14"/>
    <s:mergeCell ref="B15:D15"/>
    <s:mergeCell ref="B16:D16"/>
    <s:mergeCell ref="B17:D17"/>
    <s:mergeCell ref="B18:D18"/>
    <s:mergeCell ref="B19:D19"/>
    <s:mergeCell ref="B20:D20"/>
    <s:mergeCell ref="B21:D21"/>
    <s:mergeCell ref="B22:D22"/>
    <s:mergeCell ref="B6:D7"/>
    <s:mergeCell ref="E6:L6"/>
    <s:mergeCell ref="M6:M7"/>
    <s:mergeCell ref="B8:D8"/>
    <s:mergeCell ref="B9:D9"/>
    <s:mergeCell ref="B10:D10"/>
    <s:mergeCell ref="B11:D11"/>
    <s:mergeCell ref="B12:D12"/>
    <s:mergeCell ref="B13:D13"/>
  </s:mergeCells>
  <s:conditionalFormatting sqref="C3:E4">
    <s:cfRule type="cellIs" dxfId="24" priority="2" stopIfTrue="1" operator="lessThan">
      <s:formula>0</s:formula>
    </s:cfRule>
  </s:conditionalFormatting>
  <s:conditionalFormatting sqref="M3:M4">
    <s:cfRule type="cellIs" dxfId="23" priority="7" stopIfTrue="1" operator="lessThan">
      <s:formula>0</s:formula>
    </s:cfRule>
  </s:conditionalFormatting>
  <s:conditionalFormatting sqref="M18:M20">
    <s:cfRule type="cellIs" dxfId="22" priority="10" stopIfTrue="1" operator="lessThan">
      <s:formula>0</s:formula>
    </s:cfRule>
  </s:conditionalFormatting>
  <s:conditionalFormatting sqref="M22:M24">
    <s:cfRule type="cellIs" dxfId="21" priority="9" stopIfTrue="1" operator="lessThan">
      <s:formula>0</s:formula>
    </s:cfRule>
  </s:conditionalFormatting>
  <s:conditionalFormatting sqref="M26:M28">
    <s:cfRule type="cellIs" dxfId="20" priority="8" stopIfTrue="1" operator="lessThan">
      <s:formula>0</s:formula>
    </s:cfRule>
  </s:conditionalFormatting>
  <s:conditionalFormatting sqref="M6:N6 O6:T8 N7 E8:N11 N12 M13:N15 N16:N36 O17:T36 I37:S37">
    <s:cfRule type="cellIs" dxfId="19" priority="25" stopIfTrue="1" operator="lessThan">
      <s:formula>0</s:formula>
    </s:cfRule>
  </s:conditionalFormatting>
  <s:conditionalFormatting sqref="O12:P12 P13:P14">
    <s:cfRule type="cellIs" dxfId="18" priority="1" stopIfTrue="1" operator="lessThan">
      <s:formula>0</s:formula>
    </s:cfRule>
  </s:conditionalFormatting>
  <s:dataValidations count="4">
    <s:dataValidation xr:uid="{E8855F7C-1EA0-498D-8586-0426C02A1172}" type="list" allowBlank="1" showInputMessage="1" showErrorMessage="1" sqref="E76:H85" vyd:viewType="arrow" mc:Ignorable="vyd">
      <s:formula1>r_3p_role</s:formula1>
    </s:dataValidation>
    <s:dataValidation xr:uid="{172536F0-6320-4E1E-8BCF-15094C776405}" type="list" allowBlank="1" showInputMessage="1" showErrorMessage="1" sqref="E91:E100" vyd:viewType="arrow" mc:Ignorable="vyd">
      <s:formula1>r_ic_role</s:formula1>
    </s:dataValidation>
    <s:dataValidation xr:uid="{3ED33ACA-50D3-4878-B21A-97E13FF67FEF}" type="list" allowBlank="1" showInputMessage="1" showErrorMessage="1" sqref="E41:E70" vyd:viewType="arrow" mc:Ignorable="vyd">
      <s:formula1>r_role</s:formula1>
    </s:dataValidation>
    <s:dataValidation type="list" sqref="C147:C153 C41:C70 C76:C85 C91:C100 C106:C110 C116:C119 C125:C129 C135:C141 C159:C165" vyd:viewType="arrow" mc:Ignorable="vyd">
      <s:formula1>'Подразделения (ЦК.ЦФО.МВЗ)'!$C$3:$C$25</s:formula1>
    </s:dataValidation>
  </s:dataValidations>
  <s:pageMargins left="0.394" right="0.394" top="0.394" bottom="0.394" header="0.394" footer="0.394"/>
  <s:pageSetup paperSize="9" scale="69" orientation="portrait" horizontalDpi="204" verticalDpi="196" r:id="rId1"/>
  <s:extLst>
    <s:ext uri="{CCE6A557-97BC-4b89-ADB6-D9C93CAAB3DF}"/>
  </s:extLst>
</s:worksheet>
</file>

<file path=xl/worksheets/sheet3.xml><?xml version="1.0" encoding="utf-8"?>
<s:worksheet xmlns:mc="http://schemas.openxmlformats.org/markup-compatibility/2006" xmlns:xr2="http://schemas.microsoft.com/office/spreadsheetml/2015/revision2" xmlns:xr3="http://schemas.microsoft.com/office/spreadsheetml/2016/revision3" xmlns:s="http://schemas.openxmlformats.org/spreadsheetml/2006/main" xmlns:r="http://schemas.openxmlformats.org/officeDocument/2006/relationships" xmlns:x14ac="http://schemas.microsoft.com/office/spreadsheetml/2009/9/ac" xmlns:xr="http://schemas.microsoft.com/office/spreadsheetml/2014/revision" mc:Ignorable="x14ac xr xr2 xr3" xr:uid="{E819DCC2-CE04-4975-9128-2EC0AD44AFE4}">
  <s:dimension ref="B2:G38"/>
  <s:sheetViews>
    <s:sheetView tabSelected="0" zoomScale="70" zoomScaleNormal="70" workbookViewId="0">
      <s:selection activeCell="I19" sqref="I19"/>
    </s:sheetView>
  </s:sheetViews>
  <s:sheetFormatPr defaultColWidth="10" defaultRowHeight="14.4"/>
  <s:cols>
    <s:col min="1" max="1" width="2.887" style="430" customWidth="1"/>
    <s:col min="2" max="2" width="14.332" style="430" customWidth="1"/>
    <s:col min="3" max="3" width="4.109" style="436" customWidth="1"/>
    <s:col min="4" max="4" width="28.555" style="436" customWidth="1"/>
    <s:col min="5" max="5" width="34.219" style="436" customWidth="1"/>
    <s:col min="6" max="6" width="61.555" style="436" customWidth="1"/>
    <s:col min="7" max="7" width="21" style="430" customWidth="1"/>
    <s:col min="8" max="16384" width="8.887" style="430"/>
  </s:cols>
  <s:sheetData>
    <s:row r="2" spans="2:7" ht="28.8">
      <s:c r="B2" s="427" t="s">
        <s:v>229</s:v>
      </s:c>
      <s:c r="C2" s="428" t="s">
        <s:v>118</s:v>
      </s:c>
      <s:c r="D2" s="428" t="s">
        <s:v>230</s:v>
      </s:c>
      <s:c r="E2" s="428" t="s">
        <s:v>231</s:v>
      </s:c>
      <s:c r="F2" s="428" t="s">
        <s:v>232</s:v>
      </s:c>
      <s:c r="G2" s="429" t="s">
        <s:v>233</s:v>
      </s:c>
    </s:row>
    <s:row r="3" spans="2:7">
      <s:c r="B3" s="669" t="s">
        <s:v>234</s:v>
      </s:c>
      <s:c r="C3" s="431">
        <s:v>1</s:v>
      </s:c>
      <s:c r="D3" s="670" t="s">
        <s:v>235</s:v>
      </s:c>
      <s:c r="E3" s="432" t="s">
        <s:v>236</s:v>
      </s:c>
      <s:c r="F3" s="671" t="s">
        <s:v>237</s:v>
      </s:c>
      <s:c r="G3" s="433"/>
    </s:row>
    <s:row r="4" spans="2:7">
      <s:c r="B4" s="669"/>
      <s:c r="C4" s="431">
        <s:v>2</s:v>
      </s:c>
      <s:c r="D4" s="670"/>
      <s:c r="E4" s="432" t="s">
        <s:v>238</s:v>
      </s:c>
      <s:c r="F4" s="672"/>
      <s:c r="G4" s="433"/>
    </s:row>
    <s:row r="5" spans="2:7" ht="28.8">
      <s:c r="B5" s="669"/>
      <s:c r="C5" s="431">
        <s:v>3</s:v>
      </s:c>
      <s:c r="D5" s="670"/>
      <s:c r="E5" s="432" t="s">
        <s:v>239</s:v>
      </s:c>
      <s:c r="F5" s="672"/>
      <s:c r="G5" s="433"/>
    </s:row>
    <s:row r="6" spans="2:7" ht="44.4" customHeight="1">
      <s:c r="B6" s="669"/>
      <s:c r="C6" s="431">
        <s:v>4</s:v>
      </s:c>
      <s:c r="D6" s="670"/>
      <s:c r="E6" s="432" t="s">
        <s:v>240</s:v>
      </s:c>
      <s:c r="F6" s="673"/>
      <s:c r="G6" s="433"/>
    </s:row>
    <s:row r="7" spans="2:7" ht="28.8">
      <s:c r="B7" s="669"/>
      <s:c r="C7" s="431">
        <s:v>5</s:v>
      </s:c>
      <s:c r="D7" s="671" t="s">
        <s:v>241</s:v>
      </s:c>
      <s:c r="E7" s="432" t="s">
        <s:v>242</s:v>
      </s:c>
      <s:c r="F7" s="434" t="s">
        <s:v>243</s:v>
      </s:c>
      <s:c r="G7" s="433"/>
    </s:row>
    <s:row r="8" spans="2:7" ht="57.6">
      <s:c r="B8" s="669"/>
      <s:c r="C8" s="431">
        <s:v>6</s:v>
      </s:c>
      <s:c r="D8" s="672"/>
      <s:c r="E8" s="432" t="s">
        <s:v>244</s:v>
      </s:c>
      <s:c r="F8" s="434" t="s">
        <s:v>245</s:v>
      </s:c>
      <s:c r="G8" s="433"/>
    </s:row>
    <s:row r="9" spans="2:7" ht="43.2">
      <s:c r="B9" s="669"/>
      <s:c r="C9" s="431">
        <s:v>7</s:v>
      </s:c>
      <s:c r="D9" s="672"/>
      <s:c r="E9" s="432" t="s">
        <s:v>246</s:v>
      </s:c>
      <s:c r="F9" s="434" t="s">
        <s:v>247</s:v>
      </s:c>
      <s:c r="G9" s="433"/>
    </s:row>
    <s:row r="10" spans="2:7" ht="86.4">
      <s:c r="B10" s="669"/>
      <s:c r="C10" s="431">
        <s:v>8</s:v>
      </s:c>
      <s:c r="D10" s="673"/>
      <s:c r="E10" s="432" t="s">
        <s:v>248</s:v>
      </s:c>
      <s:c r="F10" s="434" t="s">
        <s:v>249</s:v>
      </s:c>
      <s:c r="G10" s="433"/>
    </s:row>
    <s:row r="11" spans="2:7" ht="86.4">
      <s:c r="B11" s="669"/>
      <s:c r="C11" s="431">
        <s:v>9</s:v>
      </s:c>
      <s:c r="D11" s="434" t="s">
        <s:v>250</s:v>
      </s:c>
      <s:c r="E11" s="434"/>
      <s:c r="F11" s="434" t="s">
        <s:v>251</s:v>
      </s:c>
      <s:c r="G11" s="433"/>
    </s:row>
    <s:row r="12" spans="2:7" ht="57.6">
      <s:c r="B12" s="681" t="s">
        <s:v>252</s:v>
      </s:c>
      <s:c r="C12" s="677"/>
      <s:c r="D12" s="680" t="s">
        <s:v>253</s:v>
      </s:c>
      <s:c r="E12" s="431" t="s">
        <s:v>379</s:v>
      </s:c>
      <s:c r="F12" s="573" t="s">
        <s:v>276</s:v>
      </s:c>
      <s:c r="G12" s="433"/>
    </s:row>
    <s:row r="13" spans="2:7" ht="28.8">
      <s:c r="B13" s="682"/>
      <s:c r="C13" s="678"/>
      <s:c r="D13" s="680"/>
      <s:c r="E13" s="573" t="s">
        <s:v>380</s:v>
      </s:c>
      <s:c r="F13" s="573" t="s">
        <s:v>381</s:v>
      </s:c>
      <s:c r="G13" s="433"/>
    </s:row>
    <s:row r="14" spans="2:7" ht="28.8">
      <s:c r="B14" s="682"/>
      <s:c r="C14" s="679"/>
      <s:c r="D14" s="680"/>
      <s:c r="E14" s="431" t="s">
        <s:v>294</s:v>
      </s:c>
      <s:c r="F14" s="431" t="s">
        <s:v>295</s:v>
      </s:c>
      <s:c r="G14" s="433"/>
    </s:row>
    <s:row r="15" spans="2:7" ht="126.6" customHeight="1">
      <s:c r="B15" s="683"/>
      <s:c r="C15" s="431"/>
      <s:c r="D15" s="574" t="s">
        <s:v>262</s:v>
      </s:c>
      <s:c r="E15" s="573"/>
      <s:c r="F15" s="573" t="s">
        <s:v>383</s:v>
      </s:c>
      <s:c r="G15" s="433"/>
    </s:row>
    <s:row r="16" spans="2:7" ht="33" customHeight="1">
      <s:c r="C16" s="430"/>
      <s:c r="D16" s="430"/>
      <s:c r="E16" s="430"/>
      <s:c r="F16" s="430"/>
    </s:row>
    <s:row r="17" spans="2:7" ht="33" customHeight="1">
      <s:c r="C17" s="430"/>
      <s:c r="D17" s="430"/>
      <s:c r="E17" s="430"/>
      <s:c r="F17" s="430"/>
    </s:row>
    <s:row r="18" spans="2:7" ht="48.6" customHeight="1">
      <s:c r="B18" s="684" t="s">
        <s:v>382</s:v>
      </s:c>
      <s:c r="C18" s="685"/>
      <s:c r="D18" s="685"/>
      <s:c r="E18" s="685"/>
      <s:c r="F18" s="685"/>
      <s:c r="G18" s="686"/>
    </s:row>
    <s:row r="19" spans="2:7" ht="72" customHeight="1">
      <s:c r="B19" s="674" t="s">
        <s:v>252</s:v>
      </s:c>
      <s:c r="C19" s="431">
        <s:v>10</s:v>
      </s:c>
      <s:c r="D19" s="666" t="s">
        <s:v>253</s:v>
      </s:c>
      <s:c r="E19" s="431" t="s">
        <s:v>254</s:v>
      </s:c>
      <s:c r="F19" s="431" t="s">
        <s:v>255</s:v>
      </s:c>
      <s:c r="G19" s="435"/>
    </s:row>
    <s:row r="20" spans="2:7" ht="115.2">
      <s:c r="B20" s="675"/>
      <s:c r="C20" s="431">
        <s:v>11</s:v>
      </s:c>
      <s:c r="D20" s="667"/>
      <s:c r="E20" s="431" t="s">
        <s:v>256</s:v>
      </s:c>
      <s:c r="F20" s="431" t="s">
        <s:v>257</s:v>
      </s:c>
      <s:c r="G20" s="433"/>
    </s:row>
    <s:row r="21" spans="2:7" ht="43.2">
      <s:c r="B21" s="675"/>
      <s:c r="C21" s="431">
        <s:v>12</s:v>
      </s:c>
      <s:c r="D21" s="667"/>
      <s:c r="E21" s="431" t="s">
        <s:v>258</s:v>
      </s:c>
      <s:c r="F21" s="431" t="s">
        <s:v>259</s:v>
      </s:c>
      <s:c r="G21" s="433"/>
    </s:row>
    <s:row r="22" spans="2:7" ht="43.2">
      <s:c r="B22" s="675"/>
      <s:c r="C22" s="431">
        <s:v>13</s:v>
      </s:c>
      <s:c r="D22" s="667"/>
      <s:c r="E22" s="431" t="s">
        <s:v>260</s:v>
      </s:c>
      <s:c r="F22" s="431" t="s">
        <s:v>261</s:v>
      </s:c>
      <s:c r="G22" s="433"/>
    </s:row>
    <s:row r="23" spans="2:7" ht="28.8">
      <s:c r="B23" s="675"/>
      <s:c r="C23" s="431">
        <s:v>14</s:v>
      </s:c>
      <s:c r="D23" s="677" t="s">
        <s:v>262</s:v>
      </s:c>
      <s:c r="E23" s="431" t="s">
        <s:v>263</s:v>
      </s:c>
      <s:c r="F23" s="431" t="s">
        <s:v>264</s:v>
      </s:c>
      <s:c r="G23" s="433"/>
    </s:row>
    <s:row r="24" spans="2:7" ht="28.8">
      <s:c r="B24" s="675"/>
      <s:c r="C24" s="431">
        <s:v>15</s:v>
      </s:c>
      <s:c r="D24" s="678"/>
      <s:c r="E24" s="431" t="s">
        <s:v>265</s:v>
      </s:c>
      <s:c r="F24" s="434" t="s">
        <s:v>266</s:v>
      </s:c>
      <s:c r="G24" s="433"/>
    </s:row>
    <s:row r="25" spans="2:7" ht="43.2">
      <s:c r="B25" s="675"/>
      <s:c r="C25" s="431">
        <s:v>16</s:v>
      </s:c>
      <s:c r="D25" s="678"/>
      <s:c r="E25" s="434" t="s">
        <s:v>267</s:v>
      </s:c>
      <s:c r="F25" s="434" t="s">
        <s:v>268</s:v>
      </s:c>
      <s:c r="G25" s="435"/>
    </s:row>
    <s:row r="26" spans="2:7">
      <s:c r="B26" s="676"/>
      <s:c r="C26" s="431">
        <s:v>17</s:v>
      </s:c>
      <s:c r="D26" s="679"/>
      <s:c r="E26" s="434" t="s">
        <s:v>269</s:v>
      </s:c>
      <s:c r="F26" s="434" t="s">
        <s:v>270</s:v>
      </s:c>
      <s:c r="G26" s="435"/>
    </s:row>
    <s:row r="27" spans="2:7" ht="54" customHeight="1">
      <s:c r="B27" s="665" t="s">
        <s:v>271</s:v>
      </s:c>
      <s:c r="C27" s="431">
        <s:v>18</s:v>
      </s:c>
      <s:c r="D27" s="666" t="s">
        <s:v>272</s:v>
      </s:c>
      <s:c r="E27" s="431" t="s">
        <s:v>273</s:v>
      </s:c>
      <s:c r="F27" s="431" t="s">
        <s:v>274</s:v>
      </s:c>
      <s:c r="G27" s="435"/>
    </s:row>
    <s:row r="28" spans="2:7" ht="57.6">
      <s:c r="B28" s="665"/>
      <s:c r="C28" s="431">
        <s:v>19</s:v>
      </s:c>
      <s:c r="D28" s="667"/>
      <s:c r="E28" s="431" t="s">
        <s:v>275</s:v>
      </s:c>
      <s:c r="F28" s="434" t="s">
        <s:v>276</s:v>
      </s:c>
      <s:c r="G28" s="433"/>
    </s:row>
    <s:row r="29" spans="2:7" ht="72">
      <s:c r="B29" s="665"/>
      <s:c r="C29" s="431">
        <s:v>20</s:v>
      </s:c>
      <s:c r="D29" s="667"/>
      <s:c r="E29" s="431" t="s">
        <s:v>277</s:v>
      </s:c>
      <s:c r="F29" s="434" t="s">
        <s:v>278</s:v>
      </s:c>
      <s:c r="G29" s="433"/>
    </s:row>
    <s:row r="30" spans="2:7">
      <s:c r="B30" s="665"/>
      <s:c r="C30" s="431">
        <s:v>21</s:v>
      </s:c>
      <s:c r="D30" s="667"/>
      <s:c r="E30" s="431" t="s">
        <s:v>279</s:v>
      </s:c>
      <s:c r="F30" s="431" t="s">
        <s:v>280</s:v>
      </s:c>
      <s:c r="G30" s="435"/>
    </s:row>
    <s:row r="31" spans="2:7" ht="28.8">
      <s:c r="B31" s="665"/>
      <s:c r="C31" s="431">
        <s:v>22</s:v>
      </s:c>
      <s:c r="D31" s="667"/>
      <s:c r="E31" s="431" t="s">
        <s:v>281</s:v>
      </s:c>
      <s:c r="F31" s="431" t="s">
        <s:v>282</s:v>
      </s:c>
      <s:c r="G31" s="435"/>
    </s:row>
    <s:row r="32" spans="2:7" ht="28.8">
      <s:c r="B32" s="665"/>
      <s:c r="C32" s="431">
        <s:v>23</s:v>
      </s:c>
      <s:c r="D32" s="667"/>
      <s:c r="E32" s="431" t="s">
        <s:v>283</s:v>
      </s:c>
      <s:c r="F32" s="431" t="s">
        <s:v>284</s:v>
      </s:c>
      <s:c r="G32" s="435"/>
    </s:row>
    <s:row r="33" spans="2:7" ht="28.8">
      <s:c r="B33" s="665"/>
      <s:c r="C33" s="431">
        <s:v>24</s:v>
      </s:c>
      <s:c r="D33" s="667"/>
      <s:c r="E33" s="431" t="s">
        <s:v>285</s:v>
      </s:c>
      <s:c r="F33" s="431" t="s">
        <s:v>286</s:v>
      </s:c>
      <s:c r="G33" s="435"/>
    </s:row>
    <s:row r="34" spans="2:7" ht="28.8">
      <s:c r="B34" s="665"/>
      <s:c r="C34" s="431">
        <s:v>25</s:v>
      </s:c>
      <s:c r="D34" s="667"/>
      <s:c r="E34" s="431" t="s">
        <s:v>287</s:v>
      </s:c>
      <s:c r="F34" s="431" t="s">
        <s:v>288</s:v>
      </s:c>
      <s:c r="G34" s="435"/>
    </s:row>
    <s:row r="35" spans="2:7" ht="43.2">
      <s:c r="B35" s="665"/>
      <s:c r="C35" s="431">
        <s:v>26</s:v>
      </s:c>
      <s:c r="D35" s="667"/>
      <s:c r="E35" s="431" t="s">
        <s:v>260</s:v>
      </s:c>
      <s:c r="F35" s="431" t="s">
        <s:v>289</s:v>
      </s:c>
      <s:c r="G35" s="435"/>
    </s:row>
    <s:row r="36" spans="2:7" ht="57.6">
      <s:c r="B36" s="665"/>
      <s:c r="C36" s="431">
        <s:v>27</s:v>
      </s:c>
      <s:c r="D36" s="667"/>
      <s:c r="E36" s="431" t="s">
        <s:v>290</s:v>
      </s:c>
      <s:c r="F36" s="431" t="s">
        <s:v>291</s:v>
      </s:c>
      <s:c r="G36" s="435"/>
    </s:row>
    <s:row r="37" spans="2:7" ht="28.8">
      <s:c r="B37" s="665"/>
      <s:c r="C37" s="431">
        <s:v>28</s:v>
      </s:c>
      <s:c r="D37" s="667"/>
      <s:c r="E37" s="431" t="s">
        <s:v>292</s:v>
      </s:c>
      <s:c r="F37" s="431" t="s">
        <s:v>293</s:v>
      </s:c>
      <s:c r="G37" s="435"/>
    </s:row>
    <s:row r="38" spans="2:7" ht="28.8">
      <s:c r="B38" s="665"/>
      <s:c r="C38" s="431">
        <s:v>29</s:v>
      </s:c>
      <s:c r="D38" s="668"/>
      <s:c r="E38" s="431" t="s">
        <s:v>294</s:v>
      </s:c>
      <s:c r="F38" s="431" t="s">
        <s:v>295</s:v>
      </s:c>
      <s:c r="G38" s="435"/>
    </s:row>
  </s:sheetData>
  <s:mergeCells count="13">
    <s:mergeCell ref="B27:B38"/>
    <s:mergeCell ref="D27:D38"/>
    <s:mergeCell ref="B3:B11"/>
    <s:mergeCell ref="D3:D6"/>
    <s:mergeCell ref="F3:F6"/>
    <s:mergeCell ref="D7:D10"/>
    <s:mergeCell ref="B19:B26"/>
    <s:mergeCell ref="D19:D22"/>
    <s:mergeCell ref="D23:D26"/>
    <s:mergeCell ref="D12:D14"/>
    <s:mergeCell ref="C12:C14"/>
    <s:mergeCell ref="B12:B15"/>
    <s:mergeCell ref="B18:G18"/>
  </s:mergeCells>
  <s:pageMargins left="0.7" right="0.7" top="0.75" bottom="0.75" header="0.3" footer="0.3"/>
  <s:pageSetup paperSize="9" orientation="portrait" r:id="rId1"/>
</s:worksheet>
</file>

<file path=xl/worksheets/sheet4.xml><?xml version="1.0" encoding="utf-8"?>
<s:worksheet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mc:Ignorable="x14ac xr xr2 xr3" xr:uid="{00000000-0001-0000-0400-000000000000}">
  <s:dimension ref="A1:F12"/>
  <s:sheetViews>
    <s:sheetView tabSelected="0" zoomScale="80" zoomScaleNormal="80" workbookViewId="0"/>
  </s:sheetViews>
  <s:sheetFormatPr defaultColWidth="8.777" defaultRowHeight="13.2"/>
  <s:cols>
    <s:col min="2" max="2" width="48.777" customWidth="1"/>
    <s:col min="3" max="3" width="44.777" customWidth="1"/>
  </s:cols>
  <s:sheetData>
    <s:row r="1" spans="1:6">
      <s:c r="A1" s="168" t="s">
        <s:v>118</s:v>
      </s:c>
      <s:c r="B1" s="168" t="s">
        <s:v>119</s:v>
      </s:c>
      <s:c r="C1" s="168" t="s">
        <s:v>120</s:v>
      </s:c>
      <s:c r="D1" s="183"/>
      <s:c r="E1" s="183"/>
      <s:c r="F1" s="183"/>
    </s:row>
    <s:row r="2" spans="1:6">
      <s:c r="A2" s="184"/>
      <s:c r="B2" s="184"/>
      <s:c r="C2" s="184"/>
      <s:c r="D2" s="183"/>
      <s:c r="E2" s="183"/>
      <s:c r="F2" s="183"/>
    </s:row>
    <s:row r="3" spans="1:6" ht="46.95" customHeight="1">
      <s:c r="A3" s="184"/>
      <s:c r="B3" s="184"/>
      <s:c r="C3" s="184"/>
      <s:c r="D3" s="183"/>
      <s:c r="E3" s="183"/>
      <s:c r="F3" s="183"/>
    </s:row>
    <s:row r="4" spans="1:6" ht="46.95" customHeight="1">
      <s:c r="A4" s="184"/>
      <s:c r="B4" s="184"/>
      <s:c r="C4" s="184"/>
      <s:c r="D4" s="183"/>
      <s:c r="E4" s="183"/>
      <s:c r="F4" s="183"/>
    </s:row>
    <s:row r="5" spans="1:6" ht="46.95" customHeight="1">
      <s:c r="A5" s="184"/>
      <s:c r="B5" s="184"/>
      <s:c r="C5" s="184"/>
      <s:c r="D5" s="183"/>
      <s:c r="E5" s="183"/>
      <s:c r="F5" s="183"/>
    </s:row>
    <s:row r="6" spans="1:6" ht="46.95" customHeight="1">
      <s:c r="A6" s="184"/>
      <s:c r="B6" s="184"/>
      <s:c r="C6" s="184"/>
      <s:c r="D6" s="183"/>
      <s:c r="E6" s="183"/>
      <s:c r="F6" s="183"/>
    </s:row>
    <s:row r="7" spans="1:6" ht="43.05" customHeight="1">
      <s:c r="A7" s="184"/>
      <s:c r="B7" s="184"/>
      <s:c r="C7" s="184"/>
      <s:c r="D7" s="183"/>
      <s:c r="E7" s="183"/>
      <s:c r="F7" s="183"/>
    </s:row>
    <s:row r="8" spans="1:6">
      <s:c r="B8" s="183"/>
      <s:c r="C8" s="183"/>
      <s:c r="D8" s="183"/>
      <s:c r="E8" s="183"/>
      <s:c r="F8" s="183"/>
    </s:row>
    <s:row r="9" spans="1:6">
      <s:c r="B9" s="183"/>
      <s:c r="C9" s="183"/>
      <s:c r="D9" s="183"/>
      <s:c r="E9" s="183"/>
      <s:c r="F9" s="183"/>
    </s:row>
    <s:row r="10" spans="1:6">
      <s:c r="B10" s="183"/>
      <s:c r="C10" s="183"/>
      <s:c r="D10" s="183"/>
      <s:c r="E10" s="183"/>
      <s:c r="F10" s="183"/>
    </s:row>
    <s:row r="11" spans="1:6">
      <s:c r="B11" s="183"/>
      <s:c r="C11" s="183"/>
      <s:c r="D11" s="183"/>
      <s:c r="E11" s="183"/>
      <s:c r="F11" s="183"/>
    </s:row>
    <s:row r="12" spans="1:6">
      <s:c r="B12" s="183"/>
      <s:c r="C12" s="183"/>
      <s:c r="D12" s="183"/>
      <s:c r="E12" s="183"/>
      <s:c r="F12" s="183"/>
    </s:row>
  </s:sheetData>
  <s:pageMargins left="0.7" right="0.7" top="0.75" bottom="0.75" header="0.3" footer="0.3"/>
  <s:pageSetup paperSize="9" orientation="portrait"/>
</s:worksheet>
</file>

<file path=xl/worksheets/sheet5.xml><?xml version="1.0" encoding="utf-8"?>
<s:worksheet xmlns:mc="http://schemas.openxmlformats.org/markup-compatibility/2006" xmlns:xr2="http://schemas.microsoft.com/office/spreadsheetml/2015/revision2" xmlns:xr3="http://schemas.microsoft.com/office/spreadsheetml/2016/revision3" xmlns:s="http://schemas.openxmlformats.org/spreadsheetml/2006/main" xmlns:r="http://schemas.openxmlformats.org/officeDocument/2006/relationships" xmlns:x14ac="http://schemas.microsoft.com/office/spreadsheetml/2009/9/ac" xmlns:xr="http://schemas.microsoft.com/office/spreadsheetml/2014/revision" mc:Ignorable="x14ac xr xr2 xr3" xr:uid="{3E994E10-D80D-4345-A62A-17A139E6BEF1}">
  <s:dimension ref="B1:N24"/>
  <s:sheetViews>
    <s:sheetView tabSelected="0" zoomScale="70" zoomScaleNormal="70" workbookViewId="0">
      <s:selection activeCell="F20" sqref="F20"/>
    </s:sheetView>
  </s:sheetViews>
  <s:sheetFormatPr defaultColWidth="10" defaultRowHeight="14.4"/>
  <s:cols>
    <s:col min="1" max="1" width="8.887" style="437"/>
    <s:col min="2" max="2" width="17.219" style="437" customWidth="1"/>
    <s:col min="3" max="3" width="19.555" style="438" customWidth="1"/>
    <s:col min="4" max="4" width="24.777" style="438" customWidth="1"/>
    <s:col min="5" max="9" width="18.109" style="438" customWidth="1"/>
    <s:col min="10" max="10" width="45.332" style="437" customWidth="1"/>
    <s:col min="11" max="11" width="8.887" style="437"/>
    <s:col min="12" max="12" width="15.219" style="437" bestFit="1" customWidth="1"/>
    <s:col min="13" max="14" width="17.332" style="437" bestFit="1" customWidth="1"/>
    <s:col min="15" max="16384" width="8.887" style="437"/>
  </s:cols>
  <s:sheetData>
    <s:row r="1" spans="2:14" ht="15" thickBot="1">
      <s:c r="J1" s="439"/>
    </s:row>
    <s:row r="2" spans="2:14">
      <s:c r="B2" s="694" t="s">
        <s:v>296</s:v>
      </s:c>
      <s:c r="C2" s="695"/>
      <s:c r="D2" s="440" t="s">
        <s:v>297</s:v>
      </s:c>
      <s:c r="E2" s="440" t="s">
        <s:v>40</s:v>
      </s:c>
      <s:c r="F2" s="440" t="s">
        <s:v>46</s:v>
      </s:c>
      <s:c r="G2" s="441" t="s">
        <s:v>298</s:v>
      </s:c>
      <s:c r="H2" s="442" t="s">
        <s:v>299</s:v>
      </s:c>
      <s:c r="I2" s="440" t="s">
        <s:v>300</s:v>
      </s:c>
      <s:c r="J2" s="443" t="s">
        <s:v>301</s:v>
      </s:c>
    </s:row>
    <s:row r="3" spans="2:14" ht="53.4" customHeight="1">
      <s:c r="B3" s="689" t="s">
        <s:v>302</s:v>
      </s:c>
      <s:c r="C3" s="444" t="s">
        <s:v>303</s:v>
      </s:c>
      <s:c r="D3" s="445" t="s">
        <s:v>304</s:v>
      </s:c>
      <s:c r="E3" s="446">
        <s:v>20463080</s:v>
      </s:c>
      <s:c r="F3" s="447">
        <s:f>G3-E3</s:f>
        <s:v>8653568</s:v>
      </s:c>
      <s:c r="G3" s="446">
        <s:v>29116648</s:v>
      </s:c>
      <s:c r="H3" s="447">
        <s:f>G3*1.2</s:f>
        <s:v>34939977.600000001</s:v>
      </s:c>
      <s:c r="I3" s="696">
        <s:f>SUM(F3:F4)/SUM(G3:G4)</s:f>
        <s:v>0.2972034418247595</s:v>
      </s:c>
      <s:c r="J3" s="697" t="s">
        <s:v>305</s:v>
      </s:c>
      <s:c r="M3" s="448"/>
      <s:c r="N3" s="448"/>
    </s:row>
    <s:row r="4" spans="2:14" ht="53.4" customHeight="1">
      <s:c r="B4" s="689"/>
      <s:c r="C4" s="444" t="s">
        <s:v>306</s:v>
      </s:c>
      <s:c r="D4" s="445" t="s">
        <s:v>307</s:v>
      </s:c>
      <s:c r="E4" s="446">
        <s:v>0</s:v>
      </s:c>
      <s:c r="F4" s="447">
        <s:f>G4-E4</s:f>
        <s:v>0</s:v>
      </s:c>
      <s:c r="G4" s="446"/>
      <s:c r="H4" s="447">
        <s:f>G4</s:f>
        <s:v>0</s:v>
      </s:c>
      <s:c r="I4" s="696"/>
      <s:c r="J4" s="697"/>
      <s:c r="M4" s="448"/>
      <s:c r="N4" s="448"/>
    </s:row>
    <s:row r="5" spans="2:14">
      <s:c r="B5" s="449"/>
      <s:c r="C5" s="450"/>
      <s:c r="D5" s="450"/>
      <s:c r="E5" s="450"/>
      <s:c r="F5" s="450"/>
      <s:c r="G5" s="450"/>
      <s:c r="H5" s="450"/>
      <s:c r="I5" s="450"/>
      <s:c r="J5" s="451"/>
    </s:row>
    <s:row r="6" spans="2:14">
      <s:c r="B6" s="687" t="s">
        <s:v>308</s:v>
      </s:c>
      <s:c r="C6" s="444" t="s">
        <s:v>303</s:v>
      </s:c>
      <s:c r="D6" s="452" t="s">
        <s:v>309</s:v>
      </s:c>
      <s:c r="E6" s="446">
        <s:v>333600</s:v>
      </s:c>
      <s:c r="F6" s="447">
        <s:f>G6-E6</s:f>
        <s:v>135600</s:v>
      </s:c>
      <s:c r="G6" s="446">
        <s:v>469200</s:v>
      </s:c>
      <s:c r="H6" s="447">
        <s:f>G6*1.2</s:f>
        <s:v>563040</s:v>
      </s:c>
      <s:c r="I6" s="453">
        <s:f>F6/G6</s:f>
        <s:v>0.28900255754475701</s:v>
      </s:c>
      <s:c r="J6" s="580" t="s">
        <s:v>310</s:v>
      </s:c>
      <s:c r="M6" s="448"/>
      <s:c r="N6" s="448"/>
    </s:row>
    <s:row r="7" spans="2:14" ht="43.2">
      <s:c r="B7" s="688"/>
      <s:c r="C7" s="444" t="s">
        <s:v>306</s:v>
      </s:c>
      <s:c r="D7" s="455" t="s">
        <s:v>311</s:v>
      </s:c>
      <s:c r="E7" s="446"/>
      <s:c r="F7" s="447">
        <s:f>G7-E7</s:f>
        <s:v>5000000</s:v>
      </s:c>
      <s:c r="G7" s="446">
        <s:v>5000000</s:v>
      </s:c>
      <s:c r="H7" s="447">
        <s:f>G7</s:f>
        <s:v>5000000</s:v>
      </s:c>
      <s:c r="I7" s="453">
        <s:f>F7/G7</s:f>
        <s:v>1</s:v>
      </s:c>
      <s:c r="J7" s="581" t="s">
        <s:v>312</s:v>
      </s:c>
      <s:c r="M7" s="448"/>
      <s:c r="N7" s="448"/>
    </s:row>
    <s:row r="8" spans="2:14">
      <s:c r="B8" s="449"/>
      <s:c r="C8" s="450"/>
      <s:c r="D8" s="450"/>
      <s:c r="E8" s="450"/>
      <s:c r="F8" s="450"/>
      <s:c r="G8" s="450"/>
      <s:c r="H8" s="450"/>
      <s:c r="I8" s="450"/>
      <s:c r="J8" s="451"/>
    </s:row>
    <s:row r="9" spans="2:14">
      <s:c r="B9" s="687" t="s">
        <s:v>313</s:v>
      </s:c>
      <s:c r="C9" s="444" t="s">
        <s:v>303</s:v>
      </s:c>
      <s:c r="D9" s="452" t="s">
        <s:v>309</s:v>
      </s:c>
      <s:c r="E9" s="446">
        <s:v>667200</s:v>
      </s:c>
      <s:c r="F9" s="447">
        <s:f>G9-E9</s:f>
        <s:v>271200</s:v>
      </s:c>
      <s:c r="G9" s="446">
        <s:v>938400</s:v>
      </s:c>
      <s:c r="H9" s="447">
        <s:f>G9*1.2</s:f>
        <s:v>1126080</s:v>
      </s:c>
      <s:c r="I9" s="453">
        <s:f>F9/G9</s:f>
        <s:v>0.28900255754475701</s:v>
      </s:c>
      <s:c r="J9" s="580" t="s">
        <s:v>310</s:v>
      </s:c>
      <s:c r="M9" s="448"/>
      <s:c r="N9" s="448"/>
    </s:row>
    <s:row r="10" spans="2:14" ht="43.2">
      <s:c r="B10" s="688"/>
      <s:c r="C10" s="444" t="s">
        <s:v>306</s:v>
      </s:c>
      <s:c r="D10" s="455" t="s">
        <s:v>311</s:v>
      </s:c>
      <s:c r="E10" s="446"/>
      <s:c r="F10" s="447">
        <s:f>G10-E10</s:f>
        <s:v>7000000</s:v>
      </s:c>
      <s:c r="G10" s="446">
        <s:v>7000000</s:v>
      </s:c>
      <s:c r="H10" s="447">
        <s:f>G10</s:f>
        <s:v>7000000</s:v>
      </s:c>
      <s:c r="I10" s="453">
        <s:f>F10/G10</s:f>
        <s:v>1</s:v>
      </s:c>
      <s:c r="J10" s="581" t="s">
        <s:v>314</s:v>
      </s:c>
      <s:c r="M10" s="448"/>
      <s:c r="N10" s="448"/>
    </s:row>
    <s:row r="11" spans="2:14">
      <s:c r="B11" s="449"/>
      <s:c r="C11" s="450"/>
      <s:c r="D11" s="450"/>
      <s:c r="E11" s="450"/>
      <s:c r="F11" s="450"/>
      <s:c r="G11" s="450"/>
      <s:c r="H11" s="450"/>
      <s:c r="I11" s="450"/>
      <s:c r="J11" s="451"/>
    </s:row>
    <s:row r="12" spans="2:14">
      <s:c r="B12" s="687" t="s">
        <s:v>315</s:v>
      </s:c>
      <s:c r="C12" s="444" t="s">
        <s:v>303</s:v>
      </s:c>
      <s:c r="D12" s="452"/>
      <s:c r="E12" s="446">
        <s:v>8529440</s:v>
      </s:c>
      <s:c r="F12" s="447">
        <s:f>G12-E12</s:f>
        <s:v>3456560</s:v>
      </s:c>
      <s:c r="G12" s="446">
        <s:v>11986000</s:v>
      </s:c>
      <s:c r="H12" s="447">
        <s:f>G12*1.2</s:f>
        <s:v>14383200</s:v>
      </s:c>
      <s:c r="I12" s="453">
        <s:f>F12/G12</s:f>
        <s:v>0.28838311363257135</s:v>
      </s:c>
      <s:c r="J12" s="454"/>
      <s:c r="M12" s="448"/>
      <s:c r="N12" s="448"/>
    </s:row>
    <s:row r="13" spans="2:14">
      <s:c r="B13" s="688"/>
      <s:c r="C13" s="444" t="s">
        <s:v>306</s:v>
      </s:c>
      <s:c r="D13" s="455"/>
      <s:c r="E13" s="446"/>
      <s:c r="F13" s="447">
        <s:f>G13-E13</s:f>
        <s:v>0</s:v>
      </s:c>
      <s:c r="G13" s="446"/>
      <s:c r="H13" s="447">
        <s:f>G13</s:f>
        <s:v>0</s:v>
      </s:c>
      <s:c r="I13" s="453" t="e">
        <s:f>F13/G13</s:f>
        <s:v>#DIV/0!</s:v>
      </s:c>
      <s:c r="J13" s="456"/>
      <s:c r="M13" s="448"/>
      <s:c r="N13" s="448"/>
    </s:row>
    <s:row r="14" spans="2:14">
      <s:c r="B14" s="457"/>
      <s:c r="C14" s="458"/>
      <s:c r="D14" s="458"/>
      <s:c r="E14" s="458"/>
      <s:c r="F14" s="458"/>
      <s:c r="G14" s="458"/>
      <s:c r="H14" s="458"/>
      <s:c r="I14" s="453"/>
      <s:c r="J14" s="459"/>
    </s:row>
    <s:row r="15" spans="2:14" ht="28.8">
      <s:c r="B15" s="689" t="s">
        <s:v>316</s:v>
      </s:c>
      <s:c r="C15" s="444" t="s">
        <s:v>317</s:v>
      </s:c>
      <s:c r="D15" s="445" t="s">
        <s:v>318</s:v>
      </s:c>
      <s:c r="E15" s="446">
        <s:f>3062500*0.8</s:f>
        <s:v>2450000</s:v>
      </s:c>
      <s:c r="F15" s="447">
        <s:f>G15-E15</s:f>
        <s:v>612500</s:v>
      </s:c>
      <s:c r="G15" s="446">
        <s:v>3062500</s:v>
      </s:c>
      <s:c r="H15" s="447">
        <s:f>G15</s:f>
        <s:v>3062500</s:v>
      </s:c>
      <s:c r="I15" s="453">
        <s:f validation_="true">(G15-E15)/G15</s:f>
        <s:v>0.2</s:v>
      </s:c>
      <s:c r="J15" s="690"/>
    </s:row>
    <s:row r="16" spans="2:14">
      <s:c r="B16" s="689"/>
      <s:c r="C16" s="444" t="s">
        <s:v>319</s:v>
      </s:c>
      <s:c r="D16" s="445" t="s">
        <s:v>320</s:v>
      </s:c>
      <s:c r="E16" s="446">
        <s:v>551250</s:v>
      </s:c>
      <s:c r="F16" s="447">
        <s:f>G16-E16</s:f>
        <s:v>0</s:v>
      </s:c>
      <s:c r="G16" s="446">
        <s:v>551250</s:v>
      </s:c>
      <s:c r="H16" s="447">
        <s:f>G16*1.2</s:f>
        <s:v>661500</s:v>
      </s:c>
      <s:c r="I16" s="453">
        <s:f validation_="true">(G16-E16)/G16</s:f>
        <s:v>0</s:v>
      </s:c>
      <s:c r="J16" s="690"/>
    </s:row>
    <s:row r="17" spans="2:14" ht="15" thickBot="1">
      <s:c r="B17" s="460"/>
      <s:c r="C17" s="450"/>
      <s:c r="D17" s="450"/>
      <s:c r="E17" s="450"/>
      <s:c r="F17" s="450"/>
      <s:c r="G17" s="450"/>
      <s:c r="H17" s="450"/>
      <s:c r="I17" s="450"/>
      <s:c r="J17" s="451"/>
    </s:row>
    <s:row r="18" spans="2:14" ht="15" thickBot="1">
      <s:c r="B18" s="691"/>
      <s:c r="C18" s="692"/>
      <s:c r="D18" s="693"/>
      <s:c r="E18" s="461"/>
      <s:c r="F18" s="462"/>
      <s:c r="G18" s="462"/>
      <s:c r="H18" s="462"/>
      <s:c r="I18" s="462"/>
      <s:c r="J18" s="463"/>
    </s:row>
    <s:row r="19" spans="2:14" ht="15.6">
      <s:c r="B19" s="578" t="s">
        <s:v>31</s:v>
      </s:c>
      <s:c r="C19" s="464"/>
      <s:c r="D19" s="464"/>
      <s:c r="E19" s="465">
        <s:f>SUM(E3:E17)</s:f>
        <s:v>32994570</s:v>
      </s:c>
      <s:c r="F19" s="465">
        <s:f validation_="true">SUM(F3:F17)</s:f>
        <s:v>25129428</s:v>
      </s:c>
      <s:c r="G19" s="465">
        <s:f validation_="true">SUM(G3:G17)</s:f>
        <s:v>58123998</s:v>
      </s:c>
      <s:c r="H19" s="465">
        <s:f>SUM(H3:H17)</s:f>
        <s:v>66736297.600000001</s:v>
      </s:c>
      <s:c r="I19" s="466">
        <s:f>F19/G19</s:f>
        <s:v>0.43234169817430657</s:v>
      </s:c>
      <s:c r="M19" s="467"/>
      <s:c r="N19" s="467"/>
    </s:row>
    <s:row r="20" spans="2:14">
      <s:c r="B20" s="583" t="s">
        <s:v>388</s:v>
      </s:c>
      <s:c r="E20" s="468"/>
      <s:c r="F20" s="469"/>
      <s:c r="G20" s="468"/>
      <s:c r="H20" s="468"/>
      <s:c r="I20" s="470"/>
    </s:row>
    <s:row r="21" spans="2:14">
      <s:c r="B21" s="582" t="s">
        <s:v>387</s:v>
      </s:c>
      <s:c r="E21" s="468"/>
      <s:c r="F21" s="468"/>
      <s:c r="G21" s="468"/>
      <s:c r="H21" s="468"/>
      <s:c r="I21" s="470"/>
    </s:row>
    <s:row r="23" spans="2:14">
      <s:c r="B23" s="584"/>
      <s:c r="C23" s="579" t="s">
        <s:v>389</s:v>
      </s:c>
    </s:row>
    <s:row r="24" spans="2:14">
      <s:c r="B24" s="471"/>
      <s:c r="C24" s="439" t="s">
        <s:v>321</s:v>
      </s:c>
    </s:row>
  </s:sheetData>
  <s:mergeCells count="10">
    <s:mergeCell ref="B12:B13"/>
    <s:mergeCell ref="B15:B16"/>
    <s:mergeCell ref="J15:J16"/>
    <s:mergeCell ref="B18:D18"/>
    <s:mergeCell ref="B2:C2"/>
    <s:mergeCell ref="B3:B4"/>
    <s:mergeCell ref="I3:I4"/>
    <s:mergeCell ref="J3:J4"/>
    <s:mergeCell ref="B6:B7"/>
    <s:mergeCell ref="B9:B10"/>
  </s:mergeCells>
  <s:pageMargins left="0.7" right="0.7" top="0.75" bottom="0.75" header="0.3" footer="0.3"/>
  <s:pageSetup paperSize="9" orientation="portrait" r:id="rId1"/>
</s:worksheet>
</file>

<file path=xl/worksheets/sheet6.xml><?xml version="1.0" encoding="utf-8"?>
<s:worksheet xmlns:mc="http://schemas.openxmlformats.org/markup-compatibility/2006" xmlns:xr2="http://schemas.microsoft.com/office/spreadsheetml/2015/revision2" xmlns:xr3="http://schemas.microsoft.com/office/spreadsheetml/2016/revision3" xmlns:s="http://schemas.openxmlformats.org/spreadsheetml/2006/main" xmlns:r="http://schemas.openxmlformats.org/officeDocument/2006/relationships" xmlns:x14ac="http://schemas.microsoft.com/office/spreadsheetml/2009/9/ac" xmlns:xr="http://schemas.microsoft.com/office/spreadsheetml/2014/revision" mc:Ignorable="x14ac xr xr2 xr3" xr:uid="{072FB2F0-3C06-43AE-B43E-5E1F958DAE15}">
  <s:dimension ref="B2:BA41"/>
  <s:sheetViews>
    <s:sheetView showGridLines="0" tabSelected="0" zoomScale="85" zoomScaleNormal="85" workbookViewId="0">
      <s:selection activeCell="D18" sqref="D18"/>
    </s:sheetView>
  </s:sheetViews>
  <s:sheetFormatPr defaultColWidth="10" defaultRowHeight="14.4"/>
  <s:cols>
    <s:col min="1" max="1" width="8.887" style="472"/>
    <s:col min="2" max="2" width="5.109" style="472" customWidth="1"/>
    <s:col min="3" max="3" width="36.555" style="472" customWidth="1"/>
    <s:col min="4" max="4" width="14.109" style="472" customWidth="1"/>
    <s:col min="5" max="12" width="3.332" style="472" customWidth="1"/>
    <s:col min="13" max="47" width="3" style="472" customWidth="1"/>
    <s:col min="48" max="48" width="3.219" style="472" customWidth="1"/>
    <s:col min="49" max="16384" width="8.887" style="472"/>
  </s:cols>
  <s:sheetData>
    <s:row r="2" spans="2:48" ht="15" thickBot="1">
      <s:c r="B2" s="472" t="s">
        <s:v>322</s:v>
      </s:c>
      <s:c r="C2" s="473"/>
    </s:row>
    <s:row r="3" spans="2:48" ht="33" customHeight="1" thickBot="1">
      <s:c r="B3" s="474" t="s">
        <s:v>52</s:v>
      </s:c>
      <s:c r="C3" s="475" t="s">
        <s:v>323</s:v>
      </s:c>
      <s:c r="D3" s="476" t="s">
        <s:v>324</s:v>
      </s:c>
      <s:c r="E3" s="705" t="s">
        <s:v>325</s:v>
      </s:c>
      <s:c r="F3" s="702"/>
      <s:c r="G3" s="702"/>
      <s:c r="H3" s="702"/>
      <s:c r="I3" s="702" t="s">
        <s:v>326</s:v>
      </s:c>
      <s:c r="J3" s="702"/>
      <s:c r="K3" s="702"/>
      <s:c r="L3" s="702"/>
      <s:c r="M3" s="702" t="s">
        <s:v>327</s:v>
      </s:c>
      <s:c r="N3" s="702"/>
      <s:c r="O3" s="702"/>
      <s:c r="P3" s="702"/>
      <s:c r="Q3" s="702" t="s">
        <s:v>328</s:v>
      </s:c>
      <s:c r="R3" s="702"/>
      <s:c r="S3" s="702"/>
      <s:c r="T3" s="702"/>
      <s:c r="U3" s="702" t="s">
        <s:v>329</s:v>
      </s:c>
      <s:c r="V3" s="702"/>
      <s:c r="W3" s="702"/>
      <s:c r="X3" s="702"/>
      <s:c r="Y3" s="702" t="s">
        <s:v>330</s:v>
      </s:c>
      <s:c r="Z3" s="702"/>
      <s:c r="AA3" s="702"/>
      <s:c r="AB3" s="702"/>
      <s:c r="AC3" s="702" t="s">
        <s:v>331</s:v>
      </s:c>
      <s:c r="AD3" s="702"/>
      <s:c r="AE3" s="702"/>
      <s:c r="AF3" s="702"/>
      <s:c r="AG3" s="702" t="s">
        <s:v>332</s:v>
      </s:c>
      <s:c r="AH3" s="702"/>
      <s:c r="AI3" s="702"/>
      <s:c r="AJ3" s="702"/>
      <s:c r="AK3" s="702" t="s">
        <s:v>333</s:v>
      </s:c>
      <s:c r="AL3" s="702"/>
      <s:c r="AM3" s="702"/>
      <s:c r="AN3" s="702"/>
      <s:c r="AO3" s="702" t="s">
        <s:v>334</s:v>
      </s:c>
      <s:c r="AP3" s="702"/>
      <s:c r="AQ3" s="702"/>
      <s:c r="AR3" s="702"/>
      <s:c r="AS3" s="702" t="s">
        <s:v>335</s:v>
      </s:c>
      <s:c r="AT3" s="702"/>
      <s:c r="AU3" s="702"/>
      <s:c r="AV3" s="703"/>
    </s:row>
    <s:row r="4" spans="2:48">
      <s:c r="B4" s="477">
        <s:v>1</s:v>
      </s:c>
      <s:c r="C4" s="478" t="s">
        <s:v>336</s:v>
      </s:c>
      <s:c r="D4" s="479">
        <s:v>13</s:v>
      </s:c>
      <s:c r="E4" s="480"/>
      <s:c r="F4" s="481"/>
      <s:c r="G4" s="481"/>
      <s:c r="H4" s="481"/>
      <s:c r="I4" s="481"/>
      <s:c r="J4" s="482"/>
      <s:c r="K4" s="482"/>
      <s:c r="L4" s="482"/>
      <s:c r="M4" s="482"/>
      <s:c r="N4" s="482"/>
      <s:c r="O4" s="482"/>
      <s:c r="P4" s="482"/>
      <s:c r="Q4" s="482"/>
      <s:c r="R4" s="482"/>
      <s:c r="S4" s="482"/>
      <s:c r="T4" s="482"/>
      <s:c r="U4" s="482"/>
      <s:c r="V4" s="482"/>
      <s:c r="W4" s="482"/>
      <s:c r="X4" s="482"/>
      <s:c r="Y4" s="482"/>
      <s:c r="Z4" s="482"/>
      <s:c r="AA4" s="482"/>
      <s:c r="AB4" s="482"/>
      <s:c r="AC4" s="482"/>
      <s:c r="AD4" s="482"/>
      <s:c r="AE4" s="482"/>
      <s:c r="AF4" s="482"/>
      <s:c r="AG4" s="482"/>
      <s:c r="AH4" s="482"/>
      <s:c r="AI4" s="482"/>
      <s:c r="AJ4" s="482"/>
      <s:c r="AK4" s="482"/>
      <s:c r="AL4" s="482"/>
      <s:c r="AM4" s="482"/>
      <s:c r="AN4" s="482"/>
      <s:c r="AO4" s="482"/>
      <s:c r="AP4" s="482"/>
      <s:c r="AQ4" s="482"/>
      <s:c r="AR4" s="482"/>
      <s:c r="AS4" s="482"/>
      <s:c r="AT4" s="482"/>
      <s:c r="AU4" s="482"/>
      <s:c r="AV4" s="483"/>
    </s:row>
    <s:row r="5" spans="2:48">
      <s:c r="B5" s="477">
        <s:v>2</s:v>
      </s:c>
      <s:c r="C5" s="478" t="s">
        <s:v>337</s:v>
      </s:c>
      <s:c r="D5" s="479">
        <s:v>3</s:v>
      </s:c>
      <s:c r="E5" s="480"/>
      <s:c r="F5" s="481"/>
      <s:c r="G5" s="481"/>
      <s:c r="H5" s="481"/>
      <s:c r="I5" s="481"/>
      <s:c r="J5" s="481"/>
      <s:c r="K5" s="481"/>
      <s:c r="L5" s="481"/>
      <s:c r="M5" s="481"/>
      <s:c r="N5" s="481"/>
      <s:c r="O5" s="482"/>
      <s:c r="P5" s="482"/>
      <s:c r="Q5" s="482"/>
      <s:c r="R5" s="482"/>
      <s:c r="S5" s="482"/>
      <s:c r="T5" s="482"/>
      <s:c r="U5" s="482"/>
      <s:c r="V5" s="482"/>
      <s:c r="W5" s="482"/>
      <s:c r="X5" s="482"/>
      <s:c r="Y5" s="482"/>
      <s:c r="Z5" s="482"/>
      <s:c r="AA5" s="482"/>
      <s:c r="AB5" s="482"/>
      <s:c r="AC5" s="482"/>
      <s:c r="AD5" s="482"/>
      <s:c r="AE5" s="482"/>
      <s:c r="AF5" s="482"/>
      <s:c r="AG5" s="482"/>
      <s:c r="AH5" s="482"/>
      <s:c r="AI5" s="482"/>
      <s:c r="AJ5" s="482"/>
      <s:c r="AK5" s="482"/>
      <s:c r="AL5" s="482"/>
      <s:c r="AM5" s="482"/>
      <s:c r="AN5" s="482"/>
      <s:c r="AO5" s="482"/>
      <s:c r="AP5" s="482"/>
      <s:c r="AQ5" s="482"/>
      <s:c r="AR5" s="482"/>
      <s:c r="AS5" s="482"/>
      <s:c r="AT5" s="482"/>
      <s:c r="AU5" s="482"/>
      <s:c r="AV5" s="483"/>
    </s:row>
    <s:row r="6" spans="2:48">
      <s:c r="B6" s="477">
        <s:v>3</s:v>
      </s:c>
      <s:c r="C6" s="478" t="s">
        <s:v>338</s:v>
      </s:c>
      <s:c r="D6" s="479">
        <s:v>4</s:v>
      </s:c>
      <s:c r="E6" s="480"/>
      <s:c r="F6" s="481"/>
      <s:c r="G6" s="481"/>
      <s:c r="H6" s="481"/>
      <s:c r="I6" s="481"/>
      <s:c r="J6" s="484"/>
      <s:c r="K6" s="484"/>
      <s:c r="L6" s="484"/>
      <s:c r="M6" s="484"/>
      <s:c r="N6" s="484"/>
      <s:c r="O6" s="485"/>
      <s:c r="P6" s="485"/>
      <s:c r="Q6" s="486"/>
      <s:c r="R6" s="486"/>
      <s:c r="S6" s="482"/>
      <s:c r="T6" s="482"/>
      <s:c r="U6" s="482"/>
      <s:c r="V6" s="482"/>
      <s:c r="W6" s="482"/>
      <s:c r="X6" s="482"/>
      <s:c r="Y6" s="482"/>
      <s:c r="Z6" s="482"/>
      <s:c r="AA6" s="482"/>
      <s:c r="AB6" s="482"/>
      <s:c r="AC6" s="482"/>
      <s:c r="AD6" s="482"/>
      <s:c r="AE6" s="482"/>
      <s:c r="AF6" s="482"/>
      <s:c r="AG6" s="482"/>
      <s:c r="AH6" s="482"/>
      <s:c r="AI6" s="482"/>
      <s:c r="AJ6" s="482"/>
      <s:c r="AK6" s="482"/>
      <s:c r="AL6" s="482"/>
      <s:c r="AM6" s="482"/>
      <s:c r="AN6" s="482"/>
      <s:c r="AO6" s="482"/>
      <s:c r="AP6" s="482"/>
      <s:c r="AQ6" s="482"/>
      <s:c r="AR6" s="482"/>
      <s:c r="AS6" s="482"/>
      <s:c r="AT6" s="482"/>
      <s:c r="AU6" s="482"/>
      <s:c r="AV6" s="483"/>
    </s:row>
    <s:row r="7" spans="2:48">
      <s:c r="B7" s="477">
        <s:v>4</s:v>
      </s:c>
      <s:c r="C7" s="478" t="s">
        <s:v>339</s:v>
      </s:c>
      <s:c r="D7" s="479">
        <s:v>5</s:v>
      </s:c>
      <s:c r="E7" s="487"/>
      <s:c r="F7" s="482"/>
      <s:c r="G7" s="482"/>
      <s:c r="H7" s="482"/>
      <s:c r="I7" s="482"/>
      <s:c r="J7" s="486"/>
      <s:c r="K7" s="486"/>
      <s:c r="L7" s="486"/>
      <s:c r="M7" s="486"/>
      <s:c r="N7" s="486"/>
      <s:c r="O7" s="484"/>
      <s:c r="P7" s="484"/>
      <s:c r="Q7" s="486"/>
      <s:c r="R7" s="482"/>
      <s:c r="S7" s="482"/>
      <s:c r="T7" s="482"/>
      <s:c r="U7" s="482"/>
      <s:c r="V7" s="482"/>
      <s:c r="W7" s="482"/>
      <s:c r="X7" s="482"/>
      <s:c r="Y7" s="482"/>
      <s:c r="Z7" s="482"/>
      <s:c r="AA7" s="482"/>
      <s:c r="AB7" s="482"/>
      <s:c r="AC7" s="482"/>
      <s:c r="AD7" s="482"/>
      <s:c r="AE7" s="482"/>
      <s:c r="AF7" s="482"/>
      <s:c r="AG7" s="482"/>
      <s:c r="AH7" s="482"/>
      <s:c r="AI7" s="482"/>
      <s:c r="AJ7" s="482"/>
      <s:c r="AK7" s="482"/>
      <s:c r="AL7" s="482"/>
      <s:c r="AM7" s="482"/>
      <s:c r="AN7" s="482"/>
      <s:c r="AO7" s="482"/>
      <s:c r="AP7" s="482"/>
      <s:c r="AQ7" s="482"/>
      <s:c r="AR7" s="482"/>
      <s:c r="AS7" s="482"/>
      <s:c r="AT7" s="482"/>
      <s:c r="AU7" s="482"/>
      <s:c r="AV7" s="483"/>
    </s:row>
    <s:row r="8" spans="2:48">
      <s:c r="B8" s="477">
        <s:v>5</s:v>
      </s:c>
      <s:c r="C8" s="478"/>
      <s:c r="D8" s="488">
        <s:v>7</s:v>
      </s:c>
      <s:c r="E8" s="485"/>
      <s:c r="F8" s="485"/>
      <s:c r="G8" s="485"/>
      <s:c r="H8" s="485"/>
      <s:c r="I8" s="485"/>
      <s:c r="J8" s="485"/>
      <s:c r="K8" s="486"/>
      <s:c r="L8" s="486"/>
      <s:c r="M8" s="486"/>
      <s:c r="N8" s="486"/>
      <s:c r="O8" s="486"/>
      <s:c r="P8" s="486"/>
      <s:c r="Q8" s="486"/>
      <s:c r="R8" s="486"/>
      <s:c r="S8" s="486"/>
      <s:c r="T8" s="486"/>
      <s:c r="U8" s="486"/>
      <s:c r="V8" s="486"/>
      <s:c r="W8" s="486"/>
      <s:c r="X8" s="486"/>
      <s:c r="Y8" s="486"/>
      <s:c r="Z8" s="486"/>
      <s:c r="AA8" s="486"/>
      <s:c r="AB8" s="486"/>
      <s:c r="AC8" s="486"/>
      <s:c r="AD8" s="486"/>
      <s:c r="AE8" s="486"/>
      <s:c r="AF8" s="486"/>
      <s:c r="AG8" s="486"/>
      <s:c r="AH8" s="486"/>
      <s:c r="AI8" s="486"/>
      <s:c r="AJ8" s="486"/>
      <s:c r="AK8" s="486"/>
      <s:c r="AL8" s="486"/>
      <s:c r="AM8" s="486"/>
      <s:c r="AN8" s="486"/>
      <s:c r="AO8" s="486"/>
      <s:c r="AP8" s="486"/>
      <s:c r="AQ8" s="486"/>
      <s:c r="AR8" s="486"/>
      <s:c r="AS8" s="486"/>
      <s:c r="AT8" s="486"/>
      <s:c r="AU8" s="486"/>
      <s:c r="AV8" s="483"/>
    </s:row>
    <s:row r="9" spans="2:48" ht="15" thickBot="1">
      <s:c r="B9" s="489"/>
      <s:c r="C9" s="490" t="s">
        <s:v>340</s:v>
      </s:c>
      <s:c r="D9" s="491">
        <s:f>SUM(D4:D8)</s:f>
        <s:v>32</s:v>
      </s:c>
      <s:c r="E9" s="492"/>
      <s:c r="F9" s="493"/>
      <s:c r="G9" s="493"/>
      <s:c r="H9" s="493"/>
      <s:c r="I9" s="493"/>
      <s:c r="J9" s="493"/>
      <s:c r="K9" s="493"/>
      <s:c r="L9" s="493"/>
      <s:c r="M9" s="493"/>
      <s:c r="N9" s="493"/>
      <s:c r="O9" s="493"/>
      <s:c r="P9" s="493"/>
      <s:c r="Q9" s="493"/>
      <s:c r="R9" s="494"/>
      <s:c r="S9" s="494"/>
      <s:c r="T9" s="494"/>
      <s:c r="U9" s="494"/>
      <s:c r="V9" s="494"/>
      <s:c r="W9" s="494"/>
      <s:c r="X9" s="494"/>
      <s:c r="Y9" s="494"/>
      <s:c r="Z9" s="494"/>
      <s:c r="AA9" s="494"/>
      <s:c r="AB9" s="494"/>
      <s:c r="AC9" s="494"/>
      <s:c r="AD9" s="494"/>
      <s:c r="AE9" s="494"/>
      <s:c r="AF9" s="494"/>
      <s:c r="AG9" s="494"/>
      <s:c r="AH9" s="494"/>
      <s:c r="AI9" s="494"/>
      <s:c r="AJ9" s="494"/>
      <s:c r="AK9" s="494"/>
      <s:c r="AL9" s="494"/>
      <s:c r="AM9" s="494"/>
      <s:c r="AN9" s="494"/>
      <s:c r="AO9" s="494"/>
      <s:c r="AP9" s="494"/>
      <s:c r="AQ9" s="494"/>
      <s:c r="AR9" s="494"/>
      <s:c r="AS9" s="494"/>
      <s:c r="AT9" s="494"/>
      <s:c r="AU9" s="494"/>
      <s:c r="AV9" s="495"/>
    </s:row>
    <s:row r="12" spans="2:48">
      <s:c r="B12" s="472" t="s">
        <s:v>322</s:v>
      </s:c>
      <s:c r="C12" s="473"/>
    </s:row>
    <s:row r="13" spans="2:48" ht="33" customHeight="1">
      <s:c r="B13" s="496" t="s">
        <s:v>52</s:v>
      </s:c>
      <s:c r="C13" s="497" t="s">
        <s:v>323</s:v>
      </s:c>
      <s:c r="D13" s="497" t="s">
        <s:v>324</s:v>
      </s:c>
      <s:c r="E13" s="704" t="s">
        <s:v>325</s:v>
      </s:c>
      <s:c r="F13" s="704"/>
      <s:c r="G13" s="704"/>
      <s:c r="H13" s="704"/>
      <s:c r="I13" s="704" t="s">
        <s:v>326</s:v>
      </s:c>
      <s:c r="J13" s="704"/>
      <s:c r="K13" s="704"/>
      <s:c r="L13" s="704"/>
      <s:c r="M13" s="704" t="s">
        <s:v>327</s:v>
      </s:c>
      <s:c r="N13" s="704"/>
      <s:c r="O13" s="704"/>
      <s:c r="P13" s="704"/>
    </s:row>
    <s:row r="14" spans="2:48">
      <s:c r="B14" s="498">
        <s:v>1</s:v>
      </s:c>
      <s:c r="C14" s="499" t="s">
        <s:v>341</s:v>
      </s:c>
      <s:c r="D14" s="500">
        <s:v>4</s:v>
      </s:c>
      <s:c r="E14" s="501"/>
      <s:c r="F14" s="501"/>
      <s:c r="G14" s="501"/>
      <s:c r="H14" s="501"/>
      <s:c r="I14" s="502"/>
      <s:c r="J14" s="502"/>
      <s:c r="K14" s="502"/>
      <s:c r="L14" s="502"/>
      <s:c r="M14" s="502"/>
      <s:c r="N14" s="502"/>
      <s:c r="O14" s="502"/>
      <s:c r="P14" s="502"/>
    </s:row>
    <s:row r="15" spans="2:48">
      <s:c r="B15" s="503">
        <s:v>2</s:v>
      </s:c>
      <s:c r="C15" s="504" t="s">
        <s:v>342</s:v>
      </s:c>
      <s:c r="D15" s="505">
        <s:v>4</s:v>
      </s:c>
      <s:c r="E15" s="506"/>
      <s:c r="F15" s="506"/>
      <s:c r="G15" s="507"/>
      <s:c r="H15" s="507"/>
      <s:c r="I15" s="507"/>
      <s:c r="J15" s="507"/>
      <s:c r="K15" s="506"/>
      <s:c r="L15" s="506"/>
      <s:c r="M15" s="506"/>
      <s:c r="N15" s="506"/>
      <s:c r="O15" s="508"/>
      <s:c r="P15" s="508"/>
    </s:row>
    <s:row r="16" spans="2:48">
      <s:c r="B16" s="503">
        <s:v>3</s:v>
      </s:c>
      <s:c r="C16" s="504" t="s">
        <s:v>343</s:v>
      </s:c>
      <s:c r="D16" s="505">
        <s:v>10</s:v>
      </s:c>
      <s:c r="E16" s="507"/>
      <s:c r="F16" s="507"/>
      <s:c r="G16" s="507"/>
      <s:c r="H16" s="507"/>
      <s:c r="I16" s="507"/>
      <s:c r="J16" s="507"/>
      <s:c r="K16" s="507"/>
      <s:c r="L16" s="507"/>
      <s:c r="M16" s="507"/>
      <s:c r="N16" s="507"/>
      <s:c r="O16" s="508"/>
      <s:c r="P16" s="508"/>
    </s:row>
    <s:row r="17" spans="2:53">
      <s:c r="B17" s="503">
        <s:v>4</s:v>
      </s:c>
      <s:c r="C17" s="504" t="s">
        <s:v>199</s:v>
      </s:c>
      <s:c r="D17" s="505">
        <s:v>2</s:v>
      </s:c>
      <s:c r="E17" s="506"/>
      <s:c r="F17" s="506"/>
      <s:c r="G17" s="506"/>
      <s:c r="H17" s="506"/>
      <s:c r="I17" s="506"/>
      <s:c r="J17" s="506"/>
      <s:c r="K17" s="506"/>
      <s:c r="L17" s="506"/>
      <s:c r="M17" s="506"/>
      <s:c r="N17" s="506"/>
      <s:c r="O17" s="507"/>
      <s:c r="P17" s="507"/>
    </s:row>
    <s:row r="18" spans="2:53">
      <s:c r="B18" s="509"/>
      <s:c r="C18" s="510" t="s">
        <s:v>344</s:v>
      </s:c>
      <s:c r="D18" s="511">
        <s:f>SUM(D14:D17)</s:f>
        <s:v>20</s:v>
      </s:c>
      <s:c r="E18" s="512"/>
      <s:c r="F18" s="512"/>
      <s:c r="G18" s="512"/>
      <s:c r="H18" s="512"/>
      <s:c r="I18" s="512"/>
      <s:c r="J18" s="512"/>
      <s:c r="K18" s="512"/>
      <s:c r="L18" s="512"/>
      <s:c r="M18" s="512"/>
      <s:c r="N18" s="512"/>
      <s:c r="O18" s="512"/>
      <s:c r="P18" s="512"/>
    </s:row>
    <s:row r="21" spans="2:53" ht="15" thickBot="1">
      <s:c r="B21" s="437" t="s">
        <s:v>345</s:v>
      </s:c>
      <s:c r="C21" s="513"/>
      <s:c r="D21" s="437"/>
      <s:c r="E21" s="437"/>
      <s:c r="F21" s="437"/>
      <s:c r="G21" s="437"/>
      <s:c r="H21" s="437"/>
      <s:c r="I21" s="437"/>
      <s:c r="J21" s="437"/>
      <s:c r="K21" s="437"/>
      <s:c r="L21" s="437"/>
      <s:c r="M21" s="437"/>
      <s:c r="N21" s="437"/>
      <s:c r="O21" s="437"/>
      <s:c r="P21" s="437"/>
      <s:c r="Q21" s="437"/>
      <s:c r="R21" s="437"/>
      <s:c r="S21" s="437"/>
      <s:c r="T21" s="437"/>
      <s:c r="U21" s="437"/>
      <s:c r="V21" s="437"/>
      <s:c r="W21" s="437"/>
      <s:c r="X21" s="437"/>
      <s:c r="Y21" s="437"/>
      <s:c r="Z21" s="437"/>
      <s:c r="AA21" s="437"/>
      <s:c r="AB21" s="437"/>
      <s:c r="AC21" s="437"/>
      <s:c r="AD21" s="437"/>
      <s:c r="AE21" s="437"/>
      <s:c r="AF21" s="437"/>
      <s:c r="AG21" s="437"/>
      <s:c r="AH21" s="437"/>
      <s:c r="AI21" s="437"/>
      <s:c r="AJ21" s="437"/>
      <s:c r="AK21" s="437"/>
      <s:c r="AL21" s="437"/>
      <s:c r="AM21" s="437"/>
      <s:c r="AN21" s="437"/>
      <s:c r="AO21" s="437"/>
      <s:c r="AP21" s="437"/>
      <s:c r="AQ21" s="437"/>
      <s:c r="AR21" s="437"/>
      <s:c r="AS21" s="437"/>
      <s:c r="AT21" s="437"/>
      <s:c r="AU21" s="437"/>
      <s:c r="AV21" s="437"/>
      <s:c r="AW21" s="437"/>
      <s:c r="AX21" s="437"/>
      <s:c r="AY21" s="437"/>
      <s:c r="AZ21" s="437"/>
      <s:c r="BA21" s="437"/>
    </s:row>
    <s:row r="22" spans="2:53" ht="29.4" thickBot="1">
      <s:c r="B22" s="514" t="s">
        <s:v>52</s:v>
      </s:c>
      <s:c r="C22" s="515" t="s">
        <s:v>323</s:v>
      </s:c>
      <s:c r="D22" s="516" t="s">
        <s:v>324</s:v>
      </s:c>
      <s:c r="E22" s="701" t="s">
        <s:v>325</s:v>
      </s:c>
      <s:c r="F22" s="698"/>
      <s:c r="G22" s="698"/>
      <s:c r="H22" s="698"/>
      <s:c r="I22" s="698" t="s">
        <s:v>326</s:v>
      </s:c>
      <s:c r="J22" s="698"/>
      <s:c r="K22" s="698"/>
      <s:c r="L22" s="698"/>
      <s:c r="M22" s="698" t="s">
        <s:v>327</s:v>
      </s:c>
      <s:c r="N22" s="698"/>
      <s:c r="O22" s="698"/>
      <s:c r="P22" s="698"/>
      <s:c r="Q22" s="698" t="s">
        <s:v>328</s:v>
      </s:c>
      <s:c r="R22" s="698"/>
      <s:c r="S22" s="698"/>
      <s:c r="T22" s="698"/>
      <s:c r="U22" s="698" t="s">
        <s:v>329</s:v>
      </s:c>
      <s:c r="V22" s="698"/>
      <s:c r="W22" s="698"/>
      <s:c r="X22" s="698"/>
      <s:c r="Y22" s="698" t="s">
        <s:v>330</s:v>
      </s:c>
      <s:c r="Z22" s="698"/>
      <s:c r="AA22" s="698"/>
      <s:c r="AB22" s="698"/>
      <s:c r="AC22" s="698" t="s">
        <s:v>331</s:v>
      </s:c>
      <s:c r="AD22" s="698"/>
      <s:c r="AE22" s="698"/>
      <s:c r="AF22" s="698"/>
      <s:c r="AG22" s="698" t="s">
        <s:v>332</s:v>
      </s:c>
      <s:c r="AH22" s="698"/>
      <s:c r="AI22" s="698"/>
      <s:c r="AJ22" s="698"/>
      <s:c r="AK22" s="698" t="s">
        <s:v>333</s:v>
      </s:c>
      <s:c r="AL22" s="698"/>
      <s:c r="AM22" s="698"/>
      <s:c r="AN22" s="698"/>
      <s:c r="AO22" s="698" t="s">
        <s:v>334</s:v>
      </s:c>
      <s:c r="AP22" s="698"/>
      <s:c r="AQ22" s="698"/>
      <s:c r="AR22" s="698"/>
      <s:c r="AS22" s="698" t="s">
        <s:v>335</s:v>
      </s:c>
      <s:c r="AT22" s="698"/>
      <s:c r="AU22" s="698"/>
      <s:c r="AV22" s="699"/>
      <s:c r="AW22" s="701" t="s">
        <s:v>346</s:v>
      </s:c>
      <s:c r="AX22" s="701"/>
      <s:c r="AY22" s="698"/>
      <s:c r="AZ22" s="698"/>
      <s:c r="BA22" s="699"/>
    </s:row>
    <s:row r="23" spans="2:53">
      <s:c r="B23" s="517">
        <s:v>1</s:v>
      </s:c>
      <s:c r="C23" s="518" t="s">
        <s:v>347</s:v>
      </s:c>
      <s:c r="D23" s="519">
        <s:v>13</s:v>
      </s:c>
      <s:c r="E23" s="520"/>
      <s:c r="F23" s="521"/>
      <s:c r="G23" s="521"/>
      <s:c r="H23" s="521"/>
      <s:c r="I23" s="521"/>
      <s:c r="J23" s="521"/>
      <s:c r="K23" s="521"/>
      <s:c r="L23" s="521"/>
      <s:c r="M23" s="521"/>
      <s:c r="N23" s="521"/>
      <s:c r="O23" s="521"/>
      <s:c r="P23" s="521"/>
      <s:c r="Q23" s="521"/>
      <s:c r="R23" s="522"/>
      <s:c r="S23" s="522"/>
      <s:c r="T23" s="522"/>
      <s:c r="U23" s="522"/>
      <s:c r="V23" s="522"/>
      <s:c r="W23" s="522"/>
      <s:c r="X23" s="522"/>
      <s:c r="Y23" s="522"/>
      <s:c r="Z23" s="522"/>
      <s:c r="AA23" s="522"/>
      <s:c r="AB23" s="522"/>
      <s:c r="AC23" s="522"/>
      <s:c r="AD23" s="522"/>
      <s:c r="AE23" s="522"/>
      <s:c r="AF23" s="522"/>
      <s:c r="AG23" s="522"/>
      <s:c r="AH23" s="522"/>
      <s:c r="AI23" s="522"/>
      <s:c r="AJ23" s="522"/>
      <s:c r="AK23" s="522"/>
      <s:c r="AL23" s="522"/>
      <s:c r="AM23" s="522"/>
      <s:c r="AN23" s="522"/>
      <s:c r="AO23" s="522"/>
      <s:c r="AP23" s="522"/>
      <s:c r="AQ23" s="522"/>
      <s:c r="AR23" s="522"/>
      <s:c r="AS23" s="522"/>
      <s:c r="AT23" s="522"/>
      <s:c r="AU23" s="522"/>
      <s:c r="AV23" s="523"/>
      <s:c r="AW23" s="524"/>
      <s:c r="AX23" s="524"/>
      <s:c r="AY23" s="522"/>
      <s:c r="AZ23" s="522"/>
      <s:c r="BA23" s="523"/>
    </s:row>
    <s:row r="24" spans="2:53">
      <s:c r="B24" s="517">
        <s:v>2</s:v>
      </s:c>
      <s:c r="C24" s="518" t="s">
        <s:v>348</s:v>
      </s:c>
      <s:c r="D24" s="519">
        <s:v>3</s:v>
      </s:c>
      <s:c r="E24" s="524"/>
      <s:c r="F24" s="522"/>
      <s:c r="G24" s="522"/>
      <s:c r="H24" s="522"/>
      <s:c r="I24" s="522"/>
      <s:c r="J24" s="522"/>
      <s:c r="K24" s="522"/>
      <s:c r="L24" s="522"/>
      <s:c r="M24" s="521"/>
      <s:c r="N24" s="521"/>
      <s:c r="O24" s="521"/>
      <s:c r="P24" s="522"/>
      <s:c r="Q24" s="522"/>
      <s:c r="R24" s="522"/>
      <s:c r="S24" s="522"/>
      <s:c r="T24" s="522"/>
      <s:c r="U24" s="522"/>
      <s:c r="V24" s="522"/>
      <s:c r="W24" s="522"/>
      <s:c r="X24" s="522"/>
      <s:c r="Y24" s="522"/>
      <s:c r="Z24" s="522"/>
      <s:c r="AA24" s="522"/>
      <s:c r="AB24" s="522"/>
      <s:c r="AC24" s="522"/>
      <s:c r="AD24" s="522"/>
      <s:c r="AE24" s="522"/>
      <s:c r="AF24" s="522"/>
      <s:c r="AG24" s="522"/>
      <s:c r="AH24" s="522"/>
      <s:c r="AI24" s="522"/>
      <s:c r="AJ24" s="522"/>
      <s:c r="AK24" s="522"/>
      <s:c r="AL24" s="522"/>
      <s:c r="AM24" s="522"/>
      <s:c r="AN24" s="522"/>
      <s:c r="AO24" s="522"/>
      <s:c r="AP24" s="522"/>
      <s:c r="AQ24" s="522"/>
      <s:c r="AR24" s="522"/>
      <s:c r="AS24" s="522"/>
      <s:c r="AT24" s="522"/>
      <s:c r="AU24" s="522"/>
      <s:c r="AV24" s="523"/>
      <s:c r="AW24" s="524"/>
      <s:c r="AX24" s="524"/>
      <s:c r="AY24" s="522"/>
      <s:c r="AZ24" s="522"/>
      <s:c r="BA24" s="523"/>
    </s:row>
    <s:row r="25" spans="2:53">
      <s:c r="B25" s="517">
        <s:v>3</s:v>
      </s:c>
      <s:c r="C25" s="518" t="s">
        <s:v>349</s:v>
      </s:c>
      <s:c r="D25" s="519">
        <s:v>4</s:v>
      </s:c>
      <s:c r="E25" s="524"/>
      <s:c r="F25" s="522"/>
      <s:c r="G25" s="522"/>
      <s:c r="H25" s="522"/>
      <s:c r="I25" s="522"/>
      <s:c r="J25" s="522"/>
      <s:c r="K25" s="522"/>
      <s:c r="L25" s="522"/>
      <s:c r="M25" s="521"/>
      <s:c r="N25" s="521"/>
      <s:c r="O25" s="521"/>
      <s:c r="P25" s="521"/>
      <s:c r="Q25" s="522"/>
      <s:c r="R25" s="522"/>
      <s:c r="S25" s="522"/>
      <s:c r="T25" s="522"/>
      <s:c r="U25" s="522"/>
      <s:c r="V25" s="522"/>
      <s:c r="W25" s="522"/>
      <s:c r="X25" s="522"/>
      <s:c r="Y25" s="522"/>
      <s:c r="Z25" s="522"/>
      <s:c r="AA25" s="522"/>
      <s:c r="AB25" s="522"/>
      <s:c r="AC25" s="522"/>
      <s:c r="AD25" s="522"/>
      <s:c r="AE25" s="522"/>
      <s:c r="AF25" s="522"/>
      <s:c r="AG25" s="522"/>
      <s:c r="AH25" s="522"/>
      <s:c r="AI25" s="522"/>
      <s:c r="AJ25" s="522"/>
      <s:c r="AK25" s="522"/>
      <s:c r="AL25" s="522"/>
      <s:c r="AM25" s="522"/>
      <s:c r="AN25" s="522"/>
      <s:c r="AO25" s="522"/>
      <s:c r="AP25" s="522"/>
      <s:c r="AQ25" s="522"/>
      <s:c r="AR25" s="522"/>
      <s:c r="AS25" s="522"/>
      <s:c r="AT25" s="522"/>
      <s:c r="AU25" s="522"/>
      <s:c r="AV25" s="523"/>
      <s:c r="AW25" s="524"/>
      <s:c r="AX25" s="524"/>
      <s:c r="AY25" s="522"/>
      <s:c r="AZ25" s="522"/>
      <s:c r="BA25" s="523"/>
    </s:row>
    <s:row r="26" spans="2:53">
      <s:c r="B26" s="517">
        <s:v>4</s:v>
      </s:c>
      <s:c r="C26" s="518" t="s">
        <s:v>350</s:v>
      </s:c>
      <s:c r="D26" s="519">
        <s:v>5</s:v>
      </s:c>
      <s:c r="E26" s="524"/>
      <s:c r="F26" s="522"/>
      <s:c r="G26" s="522"/>
      <s:c r="H26" s="522"/>
      <s:c r="I26" s="522"/>
      <s:c r="J26" s="522"/>
      <s:c r="K26" s="522"/>
      <s:c r="L26" s="522"/>
      <s:c r="M26" s="521"/>
      <s:c r="N26" s="521"/>
      <s:c r="O26" s="521"/>
      <s:c r="P26" s="521"/>
      <s:c r="Q26" s="521"/>
      <s:c r="R26" s="522"/>
      <s:c r="S26" s="522"/>
      <s:c r="T26" s="522"/>
      <s:c r="U26" s="522"/>
      <s:c r="V26" s="522"/>
      <s:c r="W26" s="522"/>
      <s:c r="X26" s="522"/>
      <s:c r="Y26" s="522"/>
      <s:c r="Z26" s="522"/>
      <s:c r="AA26" s="522"/>
      <s:c r="AB26" s="522"/>
      <s:c r="AC26" s="522"/>
      <s:c r="AD26" s="522"/>
      <s:c r="AE26" s="522"/>
      <s:c r="AF26" s="522"/>
      <s:c r="AG26" s="522"/>
      <s:c r="AH26" s="522"/>
      <s:c r="AI26" s="522"/>
      <s:c r="AJ26" s="522"/>
      <s:c r="AK26" s="522"/>
      <s:c r="AL26" s="522"/>
      <s:c r="AM26" s="522"/>
      <s:c r="AN26" s="522"/>
      <s:c r="AO26" s="522"/>
      <s:c r="AP26" s="522"/>
      <s:c r="AQ26" s="522"/>
      <s:c r="AR26" s="522"/>
      <s:c r="AS26" s="522"/>
      <s:c r="AT26" s="522"/>
      <s:c r="AU26" s="522"/>
      <s:c r="AV26" s="523"/>
      <s:c r="AW26" s="524"/>
      <s:c r="AX26" s="524"/>
      <s:c r="AY26" s="522"/>
      <s:c r="AZ26" s="522"/>
      <s:c r="BA26" s="523"/>
    </s:row>
    <s:row r="27" spans="2:53">
      <s:c r="B27" s="517">
        <s:v>5</s:v>
      </s:c>
      <s:c r="C27" s="518" t="s">
        <s:v>351</s:v>
      </s:c>
      <s:c r="D27" s="519">
        <s:v>7</s:v>
      </s:c>
      <s:c r="E27" s="524"/>
      <s:c r="F27" s="522"/>
      <s:c r="G27" s="522"/>
      <s:c r="H27" s="522"/>
      <s:c r="I27" s="522"/>
      <s:c r="J27" s="522"/>
      <s:c r="K27" s="522"/>
      <s:c r="L27" s="522"/>
      <s:c r="M27" s="525"/>
      <s:c r="N27" s="525"/>
      <s:c r="O27" s="525"/>
      <s:c r="P27" s="525"/>
      <s:c r="Q27" s="525"/>
      <s:c r="R27" s="526"/>
      <s:c r="S27" s="526"/>
      <s:c r="T27" s="526"/>
      <s:c r="U27" s="526"/>
      <s:c r="V27" s="526"/>
      <s:c r="W27" s="526"/>
      <s:c r="X27" s="526"/>
      <s:c r="Y27" s="525"/>
      <s:c r="Z27" s="525"/>
      <s:c r="AA27" s="525"/>
      <s:c r="AB27" s="525"/>
      <s:c r="AC27" s="525"/>
      <s:c r="AD27" s="525"/>
      <s:c r="AE27" s="525"/>
      <s:c r="AF27" s="525"/>
      <s:c r="AG27" s="525"/>
      <s:c r="AH27" s="525"/>
      <s:c r="AI27" s="525"/>
      <s:c r="AJ27" s="525"/>
      <s:c r="AK27" s="525"/>
      <s:c r="AL27" s="525"/>
      <s:c r="AM27" s="525"/>
      <s:c r="AN27" s="525"/>
      <s:c r="AO27" s="525"/>
      <s:c r="AP27" s="525"/>
      <s:c r="AQ27" s="525"/>
      <s:c r="AR27" s="525"/>
      <s:c r="AS27" s="525"/>
      <s:c r="AT27" s="525"/>
      <s:c r="AU27" s="525"/>
      <s:c r="AV27" s="523"/>
      <s:c r="AW27" s="524"/>
      <s:c r="AX27" s="524"/>
      <s:c r="AY27" s="522"/>
      <s:c r="AZ27" s="522"/>
      <s:c r="BA27" s="523"/>
    </s:row>
    <s:row r="28" spans="2:53">
      <s:c r="B28" s="517">
        <s:v>6</s:v>
      </s:c>
      <s:c r="C28" s="518" t="s">
        <s:v>352</s:v>
      </s:c>
      <s:c r="D28" s="519">
        <s:v>7</s:v>
      </s:c>
      <s:c r="E28" s="524"/>
      <s:c r="F28" s="522"/>
      <s:c r="G28" s="522"/>
      <s:c r="H28" s="522"/>
      <s:c r="I28" s="522"/>
      <s:c r="J28" s="522"/>
      <s:c r="K28" s="522"/>
      <s:c r="L28" s="522"/>
      <s:c r="M28" s="525"/>
      <s:c r="N28" s="525"/>
      <s:c r="O28" s="525"/>
      <s:c r="P28" s="525"/>
      <s:c r="Q28" s="525"/>
      <s:c r="R28" s="525"/>
      <s:c r="S28" s="525"/>
      <s:c r="T28" s="525"/>
      <s:c r="U28" s="525"/>
      <s:c r="V28" s="525"/>
      <s:c r="W28" s="525"/>
      <s:c r="X28" s="525"/>
      <s:c r="Y28" s="526"/>
      <s:c r="Z28" s="526"/>
      <s:c r="AA28" s="526"/>
      <s:c r="AB28" s="526"/>
      <s:c r="AC28" s="526"/>
      <s:c r="AD28" s="526"/>
      <s:c r="AE28" s="526"/>
      <s:c r="AF28" s="525"/>
      <s:c r="AG28" s="525"/>
      <s:c r="AH28" s="525"/>
      <s:c r="AI28" s="525"/>
      <s:c r="AJ28" s="525"/>
      <s:c r="AK28" s="525"/>
      <s:c r="AL28" s="525"/>
      <s:c r="AM28" s="525"/>
      <s:c r="AN28" s="525"/>
      <s:c r="AO28" s="525"/>
      <s:c r="AP28" s="525"/>
      <s:c r="AQ28" s="525"/>
      <s:c r="AR28" s="525"/>
      <s:c r="AS28" s="525"/>
      <s:c r="AT28" s="525"/>
      <s:c r="AU28" s="525"/>
      <s:c r="AV28" s="523"/>
      <s:c r="AW28" s="524"/>
      <s:c r="AX28" s="524"/>
      <s:c r="AY28" s="522"/>
      <s:c r="AZ28" s="522"/>
      <s:c r="BA28" s="523"/>
    </s:row>
    <s:row r="29" spans="2:53">
      <s:c r="B29" s="517">
        <s:v>7</s:v>
      </s:c>
      <s:c r="C29" s="518" t="s">
        <s:v>353</s:v>
      </s:c>
      <s:c r="D29" s="519">
        <s:v>16</s:v>
      </s:c>
      <s:c r="E29" s="524"/>
      <s:c r="F29" s="522"/>
      <s:c r="G29" s="522"/>
      <s:c r="H29" s="522"/>
      <s:c r="I29" s="522"/>
      <s:c r="J29" s="522"/>
      <s:c r="K29" s="522"/>
      <s:c r="L29" s="522"/>
      <s:c r="M29" s="525"/>
      <s:c r="N29" s="525"/>
      <s:c r="O29" s="525"/>
      <s:c r="P29" s="525"/>
      <s:c r="Q29" s="525"/>
      <s:c r="R29" s="525"/>
      <s:c r="S29" s="525"/>
      <s:c r="T29" s="525"/>
      <s:c r="U29" s="525"/>
      <s:c r="V29" s="525"/>
      <s:c r="W29" s="525"/>
      <s:c r="X29" s="525"/>
      <s:c r="Y29" s="525"/>
      <s:c r="Z29" s="525"/>
      <s:c r="AA29" s="525"/>
      <s:c r="AB29" s="525"/>
      <s:c r="AC29" s="525"/>
      <s:c r="AD29" s="525"/>
      <s:c r="AE29" s="525"/>
      <s:c r="AF29" s="526"/>
      <s:c r="AG29" s="526"/>
      <s:c r="AH29" s="526"/>
      <s:c r="AI29" s="526"/>
      <s:c r="AJ29" s="526"/>
      <s:c r="AK29" s="526"/>
      <s:c r="AL29" s="526"/>
      <s:c r="AM29" s="526"/>
      <s:c r="AN29" s="526"/>
      <s:c r="AO29" s="526"/>
      <s:c r="AP29" s="526"/>
      <s:c r="AQ29" s="526"/>
      <s:c r="AR29" s="526"/>
      <s:c r="AS29" s="526"/>
      <s:c r="AT29" s="526"/>
      <s:c r="AU29" s="526"/>
      <s:c r="AV29" s="523"/>
      <s:c r="AW29" s="524"/>
      <s:c r="AX29" s="524"/>
      <s:c r="AY29" s="522"/>
      <s:c r="AZ29" s="522"/>
      <s:c r="BA29" s="523"/>
    </s:row>
    <s:row r="30" spans="2:53">
      <s:c r="B30" s="517">
        <s:v>8</s:v>
      </s:c>
      <s:c r="C30" s="527" t="s">
        <s:v>354</s:v>
      </s:c>
      <s:c r="D30" s="528">
        <s:v>7</s:v>
      </s:c>
      <s:c r="E30" s="529"/>
      <s:c r="F30" s="525"/>
      <s:c r="G30" s="525"/>
      <s:c r="H30" s="525"/>
      <s:c r="I30" s="525"/>
      <s:c r="J30" s="525"/>
      <s:c r="K30" s="525"/>
      <s:c r="L30" s="525"/>
      <s:c r="M30" s="525"/>
      <s:c r="N30" s="525"/>
      <s:c r="O30" s="525"/>
      <s:c r="P30" s="525"/>
      <s:c r="Q30" s="525"/>
      <s:c r="R30" s="526"/>
      <s:c r="S30" s="526"/>
      <s:c r="T30" s="526"/>
      <s:c r="U30" s="526"/>
      <s:c r="V30" s="526"/>
      <s:c r="W30" s="526"/>
      <s:c r="X30" s="526"/>
      <s:c r="Y30" s="525"/>
      <s:c r="Z30" s="525"/>
      <s:c r="AA30" s="525"/>
      <s:c r="AB30" s="525"/>
      <s:c r="AC30" s="525"/>
      <s:c r="AD30" s="525"/>
      <s:c r="AE30" s="525"/>
      <s:c r="AF30" s="525"/>
      <s:c r="AG30" s="525"/>
      <s:c r="AH30" s="525"/>
      <s:c r="AI30" s="525"/>
      <s:c r="AJ30" s="525"/>
      <s:c r="AK30" s="525"/>
      <s:c r="AL30" s="525"/>
      <s:c r="AM30" s="525"/>
      <s:c r="AN30" s="525"/>
      <s:c r="AO30" s="525"/>
      <s:c r="AP30" s="525"/>
      <s:c r="AQ30" s="525"/>
      <s:c r="AR30" s="525"/>
      <s:c r="AS30" s="525"/>
      <s:c r="AT30" s="525"/>
      <s:c r="AU30" s="525"/>
      <s:c r="AV30" s="530"/>
      <s:c r="AW30" s="529"/>
      <s:c r="AX30" s="529"/>
      <s:c r="AY30" s="525"/>
      <s:c r="AZ30" s="525"/>
      <s:c r="BA30" s="530"/>
    </s:row>
    <s:row r="31" spans="2:53">
      <s:c r="B31" s="517">
        <s:v>9</s:v>
      </s:c>
      <s:c r="C31" s="527" t="s">
        <s:v>355</s:v>
      </s:c>
      <s:c r="D31" s="528">
        <s:v>7</s:v>
      </s:c>
      <s:c r="E31" s="529"/>
      <s:c r="F31" s="525"/>
      <s:c r="G31" s="525"/>
      <s:c r="H31" s="525"/>
      <s:c r="I31" s="525"/>
      <s:c r="J31" s="525"/>
      <s:c r="K31" s="525"/>
      <s:c r="L31" s="525"/>
      <s:c r="M31" s="525"/>
      <s:c r="N31" s="525"/>
      <s:c r="O31" s="525"/>
      <s:c r="P31" s="525"/>
      <s:c r="Q31" s="525"/>
      <s:c r="R31" s="525"/>
      <s:c r="S31" s="525"/>
      <s:c r="T31" s="525"/>
      <s:c r="U31" s="525"/>
      <s:c r="V31" s="525"/>
      <s:c r="W31" s="525"/>
      <s:c r="X31" s="525"/>
      <s:c r="Y31" s="526"/>
      <s:c r="Z31" s="526"/>
      <s:c r="AA31" s="526"/>
      <s:c r="AB31" s="526"/>
      <s:c r="AC31" s="526"/>
      <s:c r="AD31" s="526"/>
      <s:c r="AE31" s="526"/>
      <s:c r="AF31" s="525"/>
      <s:c r="AG31" s="525"/>
      <s:c r="AH31" s="525"/>
      <s:c r="AI31" s="525"/>
      <s:c r="AJ31" s="525"/>
      <s:c r="AK31" s="525"/>
      <s:c r="AL31" s="525"/>
      <s:c r="AM31" s="525"/>
      <s:c r="AN31" s="525"/>
      <s:c r="AO31" s="525"/>
      <s:c r="AP31" s="525"/>
      <s:c r="AQ31" s="525"/>
      <s:c r="AR31" s="525"/>
      <s:c r="AS31" s="525"/>
      <s:c r="AT31" s="525"/>
      <s:c r="AU31" s="525"/>
      <s:c r="AV31" s="530"/>
      <s:c r="AW31" s="529"/>
      <s:c r="AX31" s="529"/>
      <s:c r="AY31" s="525"/>
      <s:c r="AZ31" s="525"/>
      <s:c r="BA31" s="530"/>
    </s:row>
    <s:row r="32" spans="2:53">
      <s:c r="B32" s="517">
        <s:v>10</s:v>
      </s:c>
      <s:c r="C32" s="527" t="s">
        <s:v>356</s:v>
      </s:c>
      <s:c r="D32" s="528">
        <s:v>16</s:v>
      </s:c>
      <s:c r="E32" s="529"/>
      <s:c r="F32" s="525"/>
      <s:c r="G32" s="525"/>
      <s:c r="H32" s="525"/>
      <s:c r="I32" s="525"/>
      <s:c r="J32" s="525"/>
      <s:c r="K32" s="525"/>
      <s:c r="L32" s="525"/>
      <s:c r="M32" s="525"/>
      <s:c r="N32" s="525"/>
      <s:c r="O32" s="525"/>
      <s:c r="P32" s="525"/>
      <s:c r="Q32" s="525"/>
      <s:c r="R32" s="525"/>
      <s:c r="S32" s="525"/>
      <s:c r="T32" s="525"/>
      <s:c r="U32" s="525"/>
      <s:c r="V32" s="525"/>
      <s:c r="W32" s="525"/>
      <s:c r="X32" s="525"/>
      <s:c r="Y32" s="525"/>
      <s:c r="Z32" s="525"/>
      <s:c r="AA32" s="525"/>
      <s:c r="AB32" s="525"/>
      <s:c r="AC32" s="525"/>
      <s:c r="AD32" s="525"/>
      <s:c r="AE32" s="525"/>
      <s:c r="AF32" s="526"/>
      <s:c r="AG32" s="526"/>
      <s:c r="AH32" s="526"/>
      <s:c r="AI32" s="526"/>
      <s:c r="AJ32" s="526"/>
      <s:c r="AK32" s="526"/>
      <s:c r="AL32" s="526"/>
      <s:c r="AM32" s="526"/>
      <s:c r="AN32" s="526"/>
      <s:c r="AO32" s="526"/>
      <s:c r="AP32" s="526"/>
      <s:c r="AQ32" s="526"/>
      <s:c r="AR32" s="526"/>
      <s:c r="AS32" s="526"/>
      <s:c r="AT32" s="526"/>
      <s:c r="AU32" s="526"/>
      <s:c r="AV32" s="530"/>
      <s:c r="AW32" s="529"/>
      <s:c r="AX32" s="529"/>
      <s:c r="AY32" s="525"/>
      <s:c r="AZ32" s="525"/>
      <s:c r="BA32" s="530"/>
    </s:row>
    <s:row r="33" spans="2:53" ht="15" thickBot="1">
      <s:c r="B33" s="531"/>
      <s:c r="C33" s="532" t="s">
        <s:v>340</s:v>
      </s:c>
      <s:c r="D33" s="533">
        <s:f>SUM(D23:D32)</s:f>
        <s:v>85</s:v>
      </s:c>
      <s:c r="E33" s="534"/>
      <s:c r="F33" s="535"/>
      <s:c r="G33" s="535"/>
      <s:c r="H33" s="535"/>
      <s:c r="I33" s="535"/>
      <s:c r="J33" s="535"/>
      <s:c r="K33" s="535"/>
      <s:c r="L33" s="535"/>
      <s:c r="M33" s="535"/>
      <s:c r="N33" s="535"/>
      <s:c r="O33" s="535"/>
      <s:c r="P33" s="535"/>
      <s:c r="Q33" s="535"/>
      <s:c r="R33" s="535"/>
      <s:c r="S33" s="535"/>
      <s:c r="T33" s="535"/>
      <s:c r="U33" s="535"/>
      <s:c r="V33" s="535"/>
      <s:c r="W33" s="535"/>
      <s:c r="X33" s="535"/>
      <s:c r="Y33" s="535"/>
      <s:c r="Z33" s="535"/>
      <s:c r="AA33" s="535"/>
      <s:c r="AB33" s="535"/>
      <s:c r="AC33" s="535"/>
      <s:c r="AD33" s="535"/>
      <s:c r="AE33" s="535"/>
      <s:c r="AF33" s="535"/>
      <s:c r="AG33" s="535"/>
      <s:c r="AH33" s="535"/>
      <s:c r="AI33" s="535"/>
      <s:c r="AJ33" s="535"/>
      <s:c r="AK33" s="535"/>
      <s:c r="AL33" s="535"/>
      <s:c r="AM33" s="535"/>
      <s:c r="AN33" s="535"/>
      <s:c r="AO33" s="535"/>
      <s:c r="AP33" s="535"/>
      <s:c r="AQ33" s="535"/>
      <s:c r="AR33" s="535"/>
      <s:c r="AS33" s="535"/>
      <s:c r="AT33" s="535"/>
      <s:c r="AU33" s="535"/>
      <s:c r="AV33" s="536"/>
      <s:c r="AW33" s="537"/>
      <s:c r="AX33" s="537"/>
      <s:c r="AY33" s="538"/>
      <s:c r="AZ33" s="538"/>
      <s:c r="BA33" s="536"/>
    </s:row>
    <s:row r="34" spans="2:53" ht="15" thickBot="1">
      <s:c r="B34" s="539"/>
      <s:c r="C34" s="437"/>
      <s:c r="D34" s="437"/>
      <s:c r="E34" s="437"/>
      <s:c r="F34" s="437"/>
      <s:c r="G34" s="437"/>
      <s:c r="H34" s="437"/>
      <s:c r="I34" s="437"/>
      <s:c r="J34" s="437"/>
      <s:c r="K34" s="437"/>
      <s:c r="L34" s="437"/>
      <s:c r="M34" s="437"/>
      <s:c r="N34" s="437"/>
      <s:c r="O34" s="437"/>
      <s:c r="P34" s="437"/>
      <s:c r="Q34" s="437"/>
      <s:c r="R34" s="437"/>
      <s:c r="S34" s="437"/>
      <s:c r="T34" s="437"/>
      <s:c r="U34" s="437"/>
      <s:c r="V34" s="437"/>
      <s:c r="W34" s="437"/>
      <s:c r="X34" s="437"/>
      <s:c r="Y34" s="437"/>
      <s:c r="Z34" s="437"/>
      <s:c r="AA34" s="437"/>
      <s:c r="AB34" s="437"/>
      <s:c r="AC34" s="437"/>
      <s:c r="AD34" s="437"/>
      <s:c r="AE34" s="437"/>
      <s:c r="AF34" s="437"/>
      <s:c r="AG34" s="437"/>
      <s:c r="AH34" s="437"/>
      <s:c r="AI34" s="437"/>
      <s:c r="AJ34" s="437"/>
      <s:c r="AK34" s="437"/>
      <s:c r="AL34" s="437"/>
      <s:c r="AM34" s="437"/>
      <s:c r="AN34" s="437"/>
      <s:c r="AO34" s="437"/>
      <s:c r="AP34" s="437"/>
      <s:c r="AQ34" s="437"/>
      <s:c r="AR34" s="437"/>
      <s:c r="AS34" s="437"/>
      <s:c r="AT34" s="437"/>
      <s:c r="AU34" s="437"/>
      <s:c r="AV34" s="437"/>
      <s:c r="AW34" s="540"/>
      <s:c r="AX34" s="540"/>
      <s:c r="AY34" s="540"/>
      <s:c r="AZ34" s="540"/>
      <s:c r="BA34" s="540"/>
    </s:row>
    <s:row r="35" spans="2:53" ht="15" thickBot="1">
      <s:c r="B35" s="700" t="s">
        <s:v>357</s:v>
      </s:c>
      <s:c r="C35" s="700"/>
      <s:c r="D35" s="700"/>
      <s:c r="E35" s="437"/>
      <s:c r="F35" s="437"/>
      <s:c r="G35" s="437"/>
      <s:c r="H35" s="437"/>
      <s:c r="I35" s="437"/>
      <s:c r="J35" s="437"/>
      <s:c r="K35" s="437"/>
      <s:c r="L35" s="437"/>
      <s:c r="M35" s="437"/>
      <s:c r="N35" s="437"/>
      <s:c r="O35" s="437"/>
      <s:c r="P35" s="437"/>
      <s:c r="Q35" s="437"/>
      <s:c r="R35" s="437"/>
      <s:c r="S35" s="437"/>
      <s:c r="T35" s="437"/>
      <s:c r="U35" s="437"/>
      <s:c r="V35" s="437"/>
      <s:c r="W35" s="437"/>
      <s:c r="X35" s="437"/>
      <s:c r="Y35" s="437"/>
      <s:c r="Z35" s="437"/>
      <s:c r="AA35" s="437"/>
      <s:c r="AB35" s="437"/>
      <s:c r="AC35" s="437"/>
      <s:c r="AD35" s="437"/>
      <s:c r="AE35" s="437"/>
      <s:c r="AF35" s="437"/>
      <s:c r="AG35" s="437"/>
      <s:c r="AH35" s="437"/>
      <s:c r="AI35" s="437"/>
      <s:c r="AJ35" s="437"/>
      <s:c r="AK35" s="437"/>
      <s:c r="AL35" s="437"/>
      <s:c r="AM35" s="437"/>
      <s:c r="AN35" s="437"/>
      <s:c r="AO35" s="437"/>
      <s:c r="AP35" s="437"/>
      <s:c r="AQ35" s="437"/>
      <s:c r="AR35" s="437"/>
      <s:c r="AS35" s="437"/>
      <s:c r="AT35" s="437"/>
      <s:c r="AU35" s="437"/>
      <s:c r="AV35" s="437"/>
      <s:c r="AW35" s="437"/>
      <s:c r="AX35" s="437"/>
      <s:c r="AY35" s="437"/>
      <s:c r="AZ35" s="437"/>
      <s:c r="BA35" s="437"/>
    </s:row>
    <s:row r="36" spans="2:53" ht="29.4" thickBot="1">
      <s:c r="B36" s="514" t="s">
        <s:v>52</s:v>
      </s:c>
      <s:c r="C36" s="515" t="s">
        <s:v>323</s:v>
      </s:c>
      <s:c r="D36" s="516" t="s">
        <s:v>324</s:v>
      </s:c>
      <s:c r="E36" s="701" t="s">
        <s:v>325</s:v>
      </s:c>
      <s:c r="F36" s="698"/>
      <s:c r="G36" s="698"/>
      <s:c r="H36" s="698"/>
      <s:c r="I36" s="698" t="s">
        <s:v>326</s:v>
      </s:c>
      <s:c r="J36" s="698"/>
      <s:c r="K36" s="698"/>
      <s:c r="L36" s="698"/>
      <s:c r="M36" s="698" t="s">
        <s:v>327</s:v>
      </s:c>
      <s:c r="N36" s="698"/>
      <s:c r="O36" s="698"/>
      <s:c r="P36" s="698"/>
      <s:c r="Q36" s="698" t="s">
        <s:v>328</s:v>
      </s:c>
      <s:c r="R36" s="698"/>
      <s:c r="S36" s="698"/>
      <s:c r="T36" s="698"/>
      <s:c r="U36" s="698" t="s">
        <s:v>329</s:v>
      </s:c>
      <s:c r="V36" s="698"/>
      <s:c r="W36" s="698"/>
      <s:c r="X36" s="698"/>
      <s:c r="Y36" s="698" t="s">
        <s:v>330</s:v>
      </s:c>
      <s:c r="Z36" s="698"/>
      <s:c r="AA36" s="698"/>
      <s:c r="AB36" s="698"/>
      <s:c r="AC36" s="698" t="s">
        <s:v>331</s:v>
      </s:c>
      <s:c r="AD36" s="698"/>
      <s:c r="AE36" s="698"/>
      <s:c r="AF36" s="698"/>
      <s:c r="AG36" s="698" t="s">
        <s:v>332</s:v>
      </s:c>
      <s:c r="AH36" s="698"/>
      <s:c r="AI36" s="698"/>
      <s:c r="AJ36" s="698"/>
      <s:c r="AK36" s="698" t="s">
        <s:v>333</s:v>
      </s:c>
      <s:c r="AL36" s="698"/>
      <s:c r="AM36" s="698"/>
      <s:c r="AN36" s="698"/>
      <s:c r="AO36" s="698" t="s">
        <s:v>334</s:v>
      </s:c>
      <s:c r="AP36" s="698"/>
      <s:c r="AQ36" s="698"/>
      <s:c r="AR36" s="698"/>
      <s:c r="AS36" s="698" t="s">
        <s:v>335</s:v>
      </s:c>
      <s:c r="AT36" s="698"/>
      <s:c r="AU36" s="698"/>
      <s:c r="AV36" s="699"/>
      <s:c r="AW36" s="437"/>
      <s:c r="AX36" s="437"/>
      <s:c r="AY36" s="437"/>
      <s:c r="AZ36" s="437"/>
      <s:c r="BA36" s="437"/>
    </s:row>
    <s:row r="37" spans="2:53">
      <s:c r="B37" s="517">
        <s:v>1</s:v>
      </s:c>
      <s:c r="C37" s="518" t="s">
        <s:v>350</s:v>
      </s:c>
      <s:c r="D37" s="519">
        <s:v>5</s:v>
      </s:c>
      <s:c r="E37" s="525"/>
      <s:c r="F37" s="525"/>
      <s:c r="G37" s="525"/>
      <s:c r="H37" s="525"/>
      <s:c r="I37" s="525"/>
      <s:c r="J37" s="525"/>
      <s:c r="K37" s="525"/>
      <s:c r="L37" s="525"/>
      <s:c r="M37" s="541"/>
      <s:c r="N37" s="541"/>
      <s:c r="O37" s="541"/>
      <s:c r="P37" s="541"/>
      <s:c r="Q37" s="541"/>
      <s:c r="R37" s="522"/>
      <s:c r="S37" s="522"/>
      <s:c r="T37" s="522"/>
      <s:c r="U37" s="522"/>
      <s:c r="V37" s="522"/>
      <s:c r="W37" s="522"/>
      <s:c r="X37" s="522"/>
      <s:c r="Y37" s="522"/>
      <s:c r="Z37" s="522"/>
      <s:c r="AA37" s="522"/>
      <s:c r="AB37" s="522"/>
      <s:c r="AC37" s="522"/>
      <s:c r="AD37" s="522"/>
      <s:c r="AE37" s="522"/>
      <s:c r="AF37" s="522"/>
      <s:c r="AG37" s="522"/>
      <s:c r="AH37" s="522"/>
      <s:c r="AI37" s="522"/>
      <s:c r="AJ37" s="522"/>
      <s:c r="AK37" s="522"/>
      <s:c r="AL37" s="522"/>
      <s:c r="AM37" s="522"/>
      <s:c r="AN37" s="522"/>
      <s:c r="AO37" s="522"/>
      <s:c r="AP37" s="522"/>
      <s:c r="AQ37" s="522"/>
      <s:c r="AR37" s="522"/>
      <s:c r="AS37" s="522"/>
      <s:c r="AT37" s="522"/>
      <s:c r="AU37" s="522"/>
      <s:c r="AV37" s="523"/>
      <s:c r="AW37" s="437"/>
      <s:c r="AX37" s="437"/>
      <s:c r="AY37" s="437"/>
      <s:c r="AZ37" s="437"/>
      <s:c r="BA37" s="437"/>
    </s:row>
    <s:row r="38" spans="2:53">
      <s:c r="B38" s="542">
        <s:v>2</s:v>
      </s:c>
      <s:c r="C38" s="527" t="s">
        <s:v>351</s:v>
      </s:c>
      <s:c r="D38" s="528">
        <s:v>7</s:v>
      </s:c>
      <s:c r="E38" s="529"/>
      <s:c r="F38" s="525"/>
      <s:c r="G38" s="525"/>
      <s:c r="H38" s="525"/>
      <s:c r="I38" s="525"/>
      <s:c r="J38" s="525"/>
      <s:c r="K38" s="525"/>
      <s:c r="L38" s="525"/>
      <s:c r="M38" s="525"/>
      <s:c r="N38" s="525"/>
      <s:c r="O38" s="525"/>
      <s:c r="P38" s="525"/>
      <s:c r="Q38" s="525"/>
      <s:c r="R38" s="543"/>
      <s:c r="S38" s="543"/>
      <s:c r="T38" s="543"/>
      <s:c r="U38" s="543"/>
      <s:c r="V38" s="543"/>
      <s:c r="W38" s="543"/>
      <s:c r="X38" s="543"/>
      <s:c r="Y38" s="525"/>
      <s:c r="Z38" s="525"/>
      <s:c r="AA38" s="525"/>
      <s:c r="AB38" s="525"/>
      <s:c r="AC38" s="525"/>
      <s:c r="AD38" s="525"/>
      <s:c r="AE38" s="525"/>
      <s:c r="AF38" s="525"/>
      <s:c r="AG38" s="525"/>
      <s:c r="AH38" s="525"/>
      <s:c r="AI38" s="525"/>
      <s:c r="AJ38" s="525"/>
      <s:c r="AK38" s="525"/>
      <s:c r="AL38" s="525"/>
      <s:c r="AM38" s="525"/>
      <s:c r="AN38" s="525"/>
      <s:c r="AO38" s="525"/>
      <s:c r="AP38" s="525"/>
      <s:c r="AQ38" s="525"/>
      <s:c r="AR38" s="525"/>
      <s:c r="AS38" s="525"/>
      <s:c r="AT38" s="525"/>
      <s:c r="AU38" s="525"/>
      <s:c r="AV38" s="530"/>
      <s:c r="AW38" s="437"/>
      <s:c r="AX38" s="437"/>
      <s:c r="AY38" s="437"/>
      <s:c r="AZ38" s="437"/>
      <s:c r="BA38" s="437"/>
    </s:row>
    <s:row r="39" spans="2:53">
      <s:c r="B39" s="542">
        <s:v>3</s:v>
      </s:c>
      <s:c r="C39" s="527" t="s">
        <s:v>352</s:v>
      </s:c>
      <s:c r="D39" s="528">
        <s:v>7</s:v>
      </s:c>
      <s:c r="E39" s="529"/>
      <s:c r="F39" s="525"/>
      <s:c r="G39" s="525"/>
      <s:c r="H39" s="525"/>
      <s:c r="I39" s="525"/>
      <s:c r="J39" s="525"/>
      <s:c r="K39" s="525"/>
      <s:c r="L39" s="525"/>
      <s:c r="M39" s="525"/>
      <s:c r="N39" s="525"/>
      <s:c r="O39" s="525"/>
      <s:c r="P39" s="525"/>
      <s:c r="Q39" s="525"/>
      <s:c r="R39" s="525"/>
      <s:c r="S39" s="525"/>
      <s:c r="T39" s="525"/>
      <s:c r="U39" s="525"/>
      <s:c r="V39" s="525"/>
      <s:c r="W39" s="525"/>
      <s:c r="X39" s="525"/>
      <s:c r="Y39" s="544"/>
      <s:c r="Z39" s="544"/>
      <s:c r="AA39" s="544"/>
      <s:c r="AB39" s="544"/>
      <s:c r="AC39" s="544"/>
      <s:c r="AD39" s="544"/>
      <s:c r="AE39" s="544"/>
      <s:c r="AF39" s="525"/>
      <s:c r="AG39" s="525"/>
      <s:c r="AH39" s="525"/>
      <s:c r="AI39" s="525"/>
      <s:c r="AJ39" s="525"/>
      <s:c r="AK39" s="525"/>
      <s:c r="AL39" s="525"/>
      <s:c r="AM39" s="525"/>
      <s:c r="AN39" s="525"/>
      <s:c r="AO39" s="525"/>
      <s:c r="AP39" s="525"/>
      <s:c r="AQ39" s="525"/>
      <s:c r="AR39" s="525"/>
      <s:c r="AS39" s="525"/>
      <s:c r="AT39" s="525"/>
      <s:c r="AU39" s="525"/>
      <s:c r="AV39" s="530"/>
      <s:c r="AW39" s="437"/>
      <s:c r="AX39" s="437"/>
      <s:c r="AY39" s="437"/>
      <s:c r="AZ39" s="437"/>
      <s:c r="BA39" s="437"/>
    </s:row>
    <s:row r="40" spans="2:53">
      <s:c r="B40" s="542">
        <s:v>4</s:v>
      </s:c>
      <s:c r="C40" s="527" t="s">
        <s:v>353</s:v>
      </s:c>
      <s:c r="D40" s="528">
        <s:v>16</s:v>
      </s:c>
      <s:c r="E40" s="529"/>
      <s:c r="F40" s="525"/>
      <s:c r="G40" s="525"/>
      <s:c r="H40" s="525"/>
      <s:c r="I40" s="525"/>
      <s:c r="J40" s="525"/>
      <s:c r="K40" s="525"/>
      <s:c r="L40" s="525"/>
      <s:c r="M40" s="525"/>
      <s:c r="N40" s="525"/>
      <s:c r="O40" s="525"/>
      <s:c r="P40" s="525"/>
      <s:c r="Q40" s="525"/>
      <s:c r="R40" s="525"/>
      <s:c r="S40" s="525"/>
      <s:c r="T40" s="525"/>
      <s:c r="U40" s="525"/>
      <s:c r="V40" s="525"/>
      <s:c r="W40" s="525"/>
      <s:c r="X40" s="525"/>
      <s:c r="Y40" s="525"/>
      <s:c r="Z40" s="525"/>
      <s:c r="AA40" s="525"/>
      <s:c r="AB40" s="525"/>
      <s:c r="AC40" s="525"/>
      <s:c r="AD40" s="525"/>
      <s:c r="AE40" s="525"/>
      <s:c r="AF40" s="545"/>
      <s:c r="AG40" s="545"/>
      <s:c r="AH40" s="545"/>
      <s:c r="AI40" s="545"/>
      <s:c r="AJ40" s="545"/>
      <s:c r="AK40" s="545"/>
      <s:c r="AL40" s="545"/>
      <s:c r="AM40" s="545"/>
      <s:c r="AN40" s="545"/>
      <s:c r="AO40" s="545"/>
      <s:c r="AP40" s="545"/>
      <s:c r="AQ40" s="545"/>
      <s:c r="AR40" s="545"/>
      <s:c r="AS40" s="545"/>
      <s:c r="AT40" s="545"/>
      <s:c r="AU40" s="545"/>
      <s:c r="AV40" s="530"/>
      <s:c r="AW40" s="437"/>
      <s:c r="AX40" s="437"/>
      <s:c r="AY40" s="437"/>
      <s:c r="AZ40" s="437"/>
      <s:c r="BA40" s="437"/>
    </s:row>
    <s:row r="41" spans="2:53" ht="15" thickBot="1">
      <s:c r="B41" s="546"/>
      <s:c r="C41" s="547" t="s">
        <s:v>340</s:v>
      </s:c>
      <s:c r="D41" s="548">
        <s:f>D37+D38+D39+D40</s:f>
        <s:v>35</s:v>
      </s:c>
      <s:c r="E41" s="525"/>
      <s:c r="F41" s="525"/>
      <s:c r="G41" s="525"/>
      <s:c r="H41" s="525"/>
      <s:c r="I41" s="525"/>
      <s:c r="J41" s="525"/>
      <s:c r="K41" s="525"/>
      <s:c r="L41" s="525"/>
      <s:c r="M41" s="535"/>
      <s:c r="N41" s="535"/>
      <s:c r="O41" s="535"/>
      <s:c r="P41" s="535"/>
      <s:c r="Q41" s="535"/>
      <s:c r="R41" s="535"/>
      <s:c r="S41" s="535"/>
      <s:c r="T41" s="535"/>
      <s:c r="U41" s="535"/>
      <s:c r="V41" s="535"/>
      <s:c r="W41" s="535"/>
      <s:c r="X41" s="535"/>
      <s:c r="Y41" s="535"/>
      <s:c r="Z41" s="535"/>
      <s:c r="AA41" s="535"/>
      <s:c r="AB41" s="535"/>
      <s:c r="AC41" s="535"/>
      <s:c r="AD41" s="535"/>
      <s:c r="AE41" s="535"/>
      <s:c r="AF41" s="535"/>
      <s:c r="AG41" s="535"/>
      <s:c r="AH41" s="535"/>
      <s:c r="AI41" s="535"/>
      <s:c r="AJ41" s="535"/>
      <s:c r="AK41" s="535"/>
      <s:c r="AL41" s="535"/>
      <s:c r="AM41" s="535"/>
      <s:c r="AN41" s="535"/>
      <s:c r="AO41" s="535"/>
      <s:c r="AP41" s="535"/>
      <s:c r="AQ41" s="535"/>
      <s:c r="AR41" s="535"/>
      <s:c r="AS41" s="535"/>
      <s:c r="AT41" s="535"/>
      <s:c r="AU41" s="535"/>
      <s:c r="AV41" s="536"/>
      <s:c r="AW41" s="437"/>
      <s:c r="AX41" s="437"/>
      <s:c r="AY41" s="437"/>
      <s:c r="AZ41" s="437"/>
      <s:c r="BA41" s="437"/>
    </s:row>
  </s:sheetData>
  <s:mergeCells count="38">
    <s:mergeCell ref="Q3:T3"/>
    <s:mergeCell ref="U3:X3"/>
    <s:mergeCell ref="Y3:AB3"/>
    <s:mergeCell ref="E13:H13"/>
    <s:mergeCell ref="I13:L13"/>
    <s:mergeCell ref="M13:P13"/>
    <s:mergeCell ref="E3:H3"/>
    <s:mergeCell ref="I3:L3"/>
    <s:mergeCell ref="M3:P3"/>
    <s:mergeCell ref="AC3:AF3"/>
    <s:mergeCell ref="AG3:AJ3"/>
    <s:mergeCell ref="AK3:AN3"/>
    <s:mergeCell ref="AO3:AR3"/>
    <s:mergeCell ref="AS3:AV3"/>
    <s:mergeCell ref="AW22:BA22"/>
    <s:mergeCell ref="E22:H22"/>
    <s:mergeCell ref="I22:L22"/>
    <s:mergeCell ref="M22:P22"/>
    <s:mergeCell ref="Q22:T22"/>
    <s:mergeCell ref="U22:X22"/>
    <s:mergeCell ref="Y22:AB22"/>
    <s:mergeCell ref="AC22:AF22"/>
    <s:mergeCell ref="AG22:AJ22"/>
    <s:mergeCell ref="AK22:AN22"/>
    <s:mergeCell ref="AO22:AR22"/>
    <s:mergeCell ref="AS22:AV22"/>
    <s:mergeCell ref="AS36:AV36"/>
    <s:mergeCell ref="B35:D35"/>
    <s:mergeCell ref="E36:H36"/>
    <s:mergeCell ref="I36:L36"/>
    <s:mergeCell ref="M36:P36"/>
    <s:mergeCell ref="Q36:T36"/>
    <s:mergeCell ref="U36:X36"/>
    <s:mergeCell ref="Y36:AB36"/>
    <s:mergeCell ref="AC36:AF36"/>
    <s:mergeCell ref="AG36:AJ36"/>
    <s:mergeCell ref="AK36:AN36"/>
    <s:mergeCell ref="AO36:AR36"/>
  </s:mergeCells>
  <s:pageMargins left="0.7" right="0.7" top="0.75" bottom="0.75" header="0.3" footer="0.3"/>
  <s:pageSetup paperSize="9" orientation="portrait" r:id="rId1"/>
</s:worksheet>
</file>

<file path=xl/worksheets/sheet7.xml><?xml version="1.0" encoding="utf-8"?>
<s:worksheet xmlns:mc="http://schemas.openxmlformats.org/markup-compatibility/2006" xmlns:xr2="http://schemas.microsoft.com/office/spreadsheetml/2015/revision2" xmlns:xr3="http://schemas.microsoft.com/office/spreadsheetml/2016/revision3" xmlns:s="http://schemas.openxmlformats.org/spreadsheetml/2006/main" xmlns:r="http://schemas.openxmlformats.org/officeDocument/2006/relationships" xmlns:x14ac="http://schemas.microsoft.com/office/spreadsheetml/2009/9/ac" xmlns:xr="http://schemas.microsoft.com/office/spreadsheetml/2014/revision" mc:Ignorable="x14ac xr xr2 xr3" xr:uid="{077E9B4A-C880-0D49-9530-F5EC6FA7FEC2}">
  <s:sheetPr>
    <s:tabColor theme="9" tint="0.6"/>
  </s:sheetPr>
  <s:dimension ref="B1:BN45"/>
  <s:sheetViews>
    <s:sheetView tabSelected="0" zoomScale="55" zoomScaleNormal="55" workbookViewId="0">
      <s:pane xSplit="3" ySplit="8" topLeftCell="D9" activePane="bottomRight" state="frozen"/>
      <s:selection pane="topRight" activeCell="C1" sqref="C1"/>
      <s:selection pane="bottomLeft" activeCell="A5" sqref="A5"/>
      <s:selection pane="bottomRight" activeCell="K25" sqref="K25"/>
    </s:sheetView>
  </s:sheetViews>
  <s:sheetFormatPr defaultColWidth="8.777" defaultRowHeight="14.4" outlineLevelRow="1" outlineLevelCol="1"/>
  <s:cols>
    <s:col min="1" max="1" width="8.777" style="331"/>
    <s:col min="2" max="2" width="3.441" style="331" bestFit="1" customWidth="1"/>
    <s:col min="3" max="3" width="33.441" style="331" customWidth="1"/>
    <s:col min="4" max="4" width="33.664" style="331" customWidth="1"/>
    <s:col min="5" max="5" width="8.777" style="332" customWidth="1"/>
    <s:col min="6" max="6" width="19.441" style="331" customWidth="1"/>
    <s:col min="7" max="16" width="10.777" style="331" customWidth="1" outlineLevel="1"/>
    <s:col min="17" max="18" width="7.109" style="331" customWidth="1" outlineLevel="1"/>
    <s:col min="19" max="26" width="3" style="331" customWidth="1"/>
    <s:col min="27" max="66" width="4.332" style="331" customWidth="1"/>
    <s:col min="67" max="16384" width="8.777" style="331"/>
  </s:cols>
  <s:sheetData>
    <s:row r="1" spans="2:66" ht="15" thickBot="1"/>
    <s:row r="2" ht="48">
      <s:c r="B2" s="333" t="s">
        <s:v>118</s:v>
      </s:c>
      <s:c r="C2" s="334" t="s">
        <s:v>165</s:v>
      </s:c>
      <s:c r="D2" s="335" t="s">
        <s:v>166</s:v>
      </s:c>
      <s:c r="E2" s="336" t="s">
        <s:v>167</s:v>
      </s:c>
      <s:c r="F2" s="337"/>
      <s:c r="G2" s="337" t="s">
        <s:v>168</s:v>
      </s:c>
      <s:c r="H2" s="337" t="s">
        <s:v>169</s:v>
      </s:c>
      <s:c r="I2" s="337" t="s">
        <s:v>170</s:v>
      </s:c>
      <s:c r="J2" s="337" t="s">
        <s:v>171</s:v>
      </s:c>
      <s:c r="K2" s="337" t="s">
        <s:v>171</s:v>
      </s:c>
      <s:c r="L2" s="337" t="s">
        <s:v>171</s:v>
      </s:c>
      <s:c r="M2" s="337" t="s">
        <s:v>172</s:v>
      </s:c>
      <s:c r="N2" s="337" t="s">
        <s:v>173</s:v>
      </s:c>
      <s:c r="O2" s="337" t="s">
        <s:v>174</s:v>
      </s:c>
      <s:c r="P2" s="337" t="s">
        <s:v>175</s:v>
      </s:c>
      <s:c r="Q2" s="338" t="s">
        <s:v>176</s:v>
      </s:c>
      <s:c r="R2" s="338" t="s">
        <s:v>176</s:v>
      </s:c>
      <s:c r="S2" s="706" t="s">
        <s:v>177</s:v>
      </s:c>
      <s:c r="T2" s="706"/>
      <s:c r="U2" s="706"/>
      <s:c r="V2" s="706"/>
      <s:c r="W2" s="706" t="s">
        <s:v>178</s:v>
      </s:c>
      <s:c r="X2" s="706"/>
      <s:c r="Y2" s="706"/>
      <s:c r="Z2" s="706"/>
      <s:c r="AA2" s="706" t="s">
        <s:v>179</s:v>
      </s:c>
      <s:c r="AB2" s="706"/>
      <s:c r="AC2" s="706"/>
      <s:c r="AD2" s="706"/>
      <s:c r="AE2" s="706" t="s">
        <s:v>180</s:v>
      </s:c>
      <s:c r="AF2" s="706"/>
      <s:c r="AG2" s="706"/>
      <s:c r="AH2" s="706"/>
      <s:c r="AI2" s="706" t="s">
        <s:v>181</s:v>
      </s:c>
      <s:c r="AJ2" s="706"/>
      <s:c r="AK2" s="706"/>
      <s:c r="AL2" s="706"/>
      <s:c r="AM2" s="706" t="s">
        <s:v>182</s:v>
      </s:c>
      <s:c r="AN2" s="706"/>
      <s:c r="AO2" s="706"/>
      <s:c r="AP2" s="706"/>
      <s:c r="AQ2" s="706" t="s">
        <s:v>183</s:v>
      </s:c>
      <s:c r="AR2" s="706"/>
      <s:c r="AS2" s="706"/>
      <s:c r="AT2" s="706"/>
      <s:c r="AU2" s="706" t="s">
        <s:v>184</s:v>
      </s:c>
      <s:c r="AV2" s="706"/>
      <s:c r="AW2" s="706"/>
      <s:c r="AX2" s="706"/>
      <s:c r="AY2" s="706" t="s">
        <s:v>185</s:v>
      </s:c>
      <s:c r="AZ2" s="706"/>
      <s:c r="BA2" s="706"/>
      <s:c r="BB2" s="706"/>
      <s:c r="BC2" s="706" t="s">
        <s:v>186</s:v>
      </s:c>
      <s:c r="BD2" s="706"/>
      <s:c r="BE2" s="706"/>
      <s:c r="BF2" s="706"/>
      <s:c r="BG2" s="706" t="s">
        <s:v>187</s:v>
      </s:c>
      <s:c r="BH2" s="706"/>
      <s:c r="BI2" s="706"/>
      <s:c r="BJ2" s="706"/>
      <s:c r="BK2" s="706" t="s">
        <s:v>188</s:v>
      </s:c>
      <s:c r="BL2" s="706"/>
      <s:c r="BM2" s="706"/>
      <s:c r="BN2" s="707"/>
    </s:row>
    <s:row r="3">
      <s:c r="B3" s="339"/>
      <s:c r="C3" s="340" t="s">
        <s:v>93</s:v>
      </s:c>
      <s:c r="D3" s="341"/>
      <s:c r="E3" s="342"/>
      <s:c r="F3" s="343"/>
      <s:c r="G3" s="343"/>
      <s:c r="H3" s="343"/>
      <s:c r="I3" s="343"/>
      <s:c r="J3" s="343"/>
      <s:c r="K3" s="343"/>
      <s:c r="L3" s="343"/>
      <s:c r="M3" s="343"/>
      <s:c r="N3" s="343"/>
      <s:c r="O3" s="343"/>
      <s:c r="P3" s="343"/>
      <s:c r="Q3" s="344"/>
      <s:c r="R3" s="344"/>
      <s:c r="S3" s="345"/>
      <s:c r="T3" s="346"/>
      <s:c r="U3" s="346"/>
      <s:c r="V3" s="346"/>
      <s:c r="W3" s="346"/>
      <s:c r="X3" s="346"/>
      <s:c r="Y3" s="346"/>
      <s:c r="Z3" s="346"/>
      <s:c r="AA3" s="346"/>
      <s:c r="AB3" s="346"/>
      <s:c r="AC3" s="346"/>
      <s:c r="AD3" s="346"/>
      <s:c r="AE3" s="346"/>
      <s:c r="AF3" s="346"/>
      <s:c r="AG3" s="346"/>
      <s:c r="AH3" s="346"/>
      <s:c r="AI3" s="346"/>
      <s:c r="AJ3" s="346"/>
      <s:c r="AK3" s="346"/>
      <s:c r="AL3" s="346"/>
      <s:c r="AM3" s="346"/>
      <s:c r="AN3" s="346"/>
      <s:c r="AO3" s="346"/>
      <s:c r="AP3" s="346"/>
      <s:c r="AQ3" s="346"/>
      <s:c r="AR3" s="346"/>
      <s:c r="AS3" s="346"/>
      <s:c r="AT3" s="346"/>
      <s:c r="AU3" s="346"/>
      <s:c r="AV3" s="346"/>
      <s:c r="AW3" s="346"/>
      <s:c r="AX3" s="346"/>
      <s:c r="AY3" s="346"/>
      <s:c r="AZ3" s="346"/>
      <s:c r="BA3" s="346"/>
      <s:c r="BB3" s="346"/>
      <s:c r="BC3" s="346"/>
      <s:c r="BD3" s="346"/>
      <s:c r="BE3" s="346"/>
      <s:c r="BF3" s="346"/>
      <s:c r="BG3" s="346"/>
      <s:c r="BH3" s="346"/>
      <s:c r="BI3" s="346"/>
      <s:c r="BJ3" s="346"/>
      <s:c r="BK3" s="346"/>
      <s:c r="BL3" s="346"/>
      <s:c r="BM3" s="346"/>
      <s:c r="BN3" s="347"/>
    </s:row>
    <s:row r="4" ht="24">
      <s:c r="B4" s="339"/>
      <s:c r="C4" s="340"/>
      <s:c r="D4" s="343"/>
      <s:c r="E4" s="348" t="s">
        <s:v>189</s:v>
      </s:c>
      <s:c r="F4" s="343"/>
      <s:c r="G4" s="343"/>
      <s:c r="H4" s="343"/>
      <s:c r="I4" s="343"/>
      <s:c r="J4" s="343"/>
      <s:c r="K4" s="343"/>
      <s:c r="L4" s="343"/>
      <s:c r="M4" s="343"/>
      <s:c r="N4" s="343"/>
      <s:c r="O4" s="343"/>
      <s:c r="P4" s="343"/>
      <s:c r="S4" s="349">
        <s:v>1</s:v>
      </s:c>
      <s:c r="T4" s="350">
        <s:v>2</s:v>
      </s:c>
      <s:c r="U4" s="350">
        <s:v>3</s:v>
      </s:c>
      <s:c r="V4" s="350">
        <s:v>4</s:v>
      </s:c>
      <s:c r="W4" s="350">
        <s:v>5</s:v>
      </s:c>
      <s:c r="X4" s="350">
        <s:v>6</s:v>
      </s:c>
      <s:c r="Y4" s="350">
        <s:v>7</s:v>
      </s:c>
      <s:c r="Z4" s="350">
        <s:v>8</s:v>
      </s:c>
      <s:c r="AA4" s="350">
        <s:v>9</s:v>
      </s:c>
      <s:c r="AB4" s="350">
        <s:v>10</s:v>
      </s:c>
      <s:c r="AC4" s="350">
        <s:v>11</s:v>
      </s:c>
      <s:c r="AD4" s="350">
        <s:v>12</s:v>
      </s:c>
      <s:c r="AE4" s="350">
        <s:v>13</s:v>
      </s:c>
      <s:c r="AF4" s="350">
        <s:v>14</s:v>
      </s:c>
      <s:c r="AG4" s="350">
        <s:v>15</s:v>
      </s:c>
      <s:c r="AH4" s="350">
        <s:v>16</s:v>
      </s:c>
      <s:c r="AI4" s="350">
        <s:v>13</s:v>
      </s:c>
      <s:c r="AJ4" s="350">
        <s:v>14</s:v>
      </s:c>
      <s:c r="AK4" s="350">
        <s:v>15</s:v>
      </s:c>
      <s:c r="AL4" s="350">
        <s:v>16</s:v>
      </s:c>
      <s:c r="AM4" s="350">
        <s:v>13</s:v>
      </s:c>
      <s:c r="AN4" s="350">
        <s:v>14</s:v>
      </s:c>
      <s:c r="AO4" s="350">
        <s:v>15</s:v>
      </s:c>
      <s:c r="AP4" s="350">
        <s:v>16</s:v>
      </s:c>
      <s:c r="AQ4" s="350">
        <s:v>13</s:v>
      </s:c>
      <s:c r="AR4" s="350">
        <s:v>14</s:v>
      </s:c>
      <s:c r="AS4" s="350">
        <s:v>15</s:v>
      </s:c>
      <s:c r="AT4" s="350">
        <s:v>16</s:v>
      </s:c>
      <s:c r="AU4" s="350">
        <s:v>13</s:v>
      </s:c>
      <s:c r="AV4" s="350">
        <s:v>14</s:v>
      </s:c>
      <s:c r="AW4" s="350">
        <s:v>15</s:v>
      </s:c>
      <s:c r="AX4" s="350">
        <s:v>16</s:v>
      </s:c>
      <s:c r="AY4" s="350">
        <s:v>13</s:v>
      </s:c>
      <s:c r="AZ4" s="350">
        <s:v>14</s:v>
      </s:c>
      <s:c r="BA4" s="350">
        <s:v>15</s:v>
      </s:c>
      <s:c r="BB4" s="350">
        <s:v>16</s:v>
      </s:c>
      <s:c r="BC4" s="350">
        <s:v>13</s:v>
      </s:c>
      <s:c r="BD4" s="350">
        <s:v>13</s:v>
      </s:c>
      <s:c r="BE4" s="350">
        <s:v>13</s:v>
      </s:c>
      <s:c r="BF4" s="350">
        <s:v>13</s:v>
      </s:c>
      <s:c r="BG4" s="350">
        <s:v>13</s:v>
      </s:c>
      <s:c r="BH4" s="350">
        <s:v>13</s:v>
      </s:c>
      <s:c r="BI4" s="350">
        <s:v>13</s:v>
      </s:c>
      <s:c r="BJ4" s="350">
        <s:v>13</s:v>
      </s:c>
      <s:c r="BK4" s="350">
        <s:v>13</s:v>
      </s:c>
      <s:c r="BL4" s="350">
        <s:v>13</s:v>
      </s:c>
      <s:c r="BM4" s="350">
        <s:v>13</s:v>
      </s:c>
      <s:c r="BN4" s="351">
        <s:v>13</s:v>
      </s:c>
    </s:row>
    <s:row r="5" ht="36">
      <s:c r="B5" s="339"/>
      <s:c r="C5" s="340"/>
      <s:c r="D5" s="343"/>
      <s:c r="E5" s="348" t="s">
        <s:v>190</s:v>
      </s:c>
      <s:c r="F5" s="343">
        <s:v>10</s:v>
      </s:c>
      <s:c r="G5" s="343">
        <s:f>G4*($F$5/100+1)</s:f>
        <s:v>0</s:v>
      </s:c>
      <s:c r="H5" s="343">
        <s:f>H4*($F$5/100+1)</s:f>
        <s:v>0</s:v>
      </s:c>
      <s:c r="I5" s="343">
        <s:f>I4*($F$5/100+1)</s:f>
        <s:v>0</s:v>
      </s:c>
      <s:c r="J5" s="343">
        <s:f>J4*($F$5/100+1)</s:f>
        <s:v>0</s:v>
      </s:c>
      <s:c r="K5" s="343">
        <s:f>K4*($F$5/100+1)</s:f>
        <s:v>0</s:v>
      </s:c>
      <s:c r="L5" s="343">
        <s:f>L4*($F$5/100+1)</s:f>
        <s:v>0</s:v>
      </s:c>
      <s:c r="M5" s="343">
        <s:f>M4*($F$5/100+1)</s:f>
        <s:v>0</s:v>
      </s:c>
      <s:c r="N5" s="343">
        <s:f>N4*($F$5/100+1)</s:f>
        <s:v>0</s:v>
      </s:c>
      <s:c r="O5" s="343">
        <s:f>O4*($F$5/100+1)</s:f>
        <s:v>0</s:v>
      </s:c>
      <s:c r="P5" s="343">
        <s:f>P4*($F$5/100+1)</s:f>
        <s:v>0</s:v>
      </s:c>
      <s:c r="S5" s="349">
        <s:v>1</s:v>
      </s:c>
      <s:c r="T5" s="350">
        <s:v>2</s:v>
      </s:c>
      <s:c r="U5" s="350">
        <s:v>3</s:v>
      </s:c>
      <s:c r="V5" s="350">
        <s:v>4</s:v>
      </s:c>
      <s:c r="W5" s="350">
        <s:v>5</s:v>
      </s:c>
      <s:c r="X5" s="350">
        <s:v>6</s:v>
      </s:c>
      <s:c r="Y5" s="350">
        <s:v>7</s:v>
      </s:c>
      <s:c r="Z5" s="350">
        <s:v>8</s:v>
      </s:c>
      <s:c r="AA5" s="350">
        <s:v>9</s:v>
      </s:c>
      <s:c r="AB5" s="350">
        <s:v>10</s:v>
      </s:c>
      <s:c r="AC5" s="350">
        <s:v>11</s:v>
      </s:c>
      <s:c r="AD5" s="350">
        <s:v>12</s:v>
      </s:c>
      <s:c r="AE5" s="350">
        <s:v>13</s:v>
      </s:c>
      <s:c r="AF5" s="350">
        <s:v>14</s:v>
      </s:c>
      <s:c r="AG5" s="350">
        <s:v>15</s:v>
      </s:c>
      <s:c r="AH5" s="350">
        <s:v>16</s:v>
      </s:c>
      <s:c r="AI5" s="350">
        <s:v>13</s:v>
      </s:c>
      <s:c r="AJ5" s="350">
        <s:v>14</s:v>
      </s:c>
      <s:c r="AK5" s="350">
        <s:v>15</s:v>
      </s:c>
      <s:c r="AL5" s="350">
        <s:v>16</s:v>
      </s:c>
      <s:c r="AM5" s="350">
        <s:v>13</s:v>
      </s:c>
      <s:c r="AN5" s="350">
        <s:v>14</s:v>
      </s:c>
      <s:c r="AO5" s="350">
        <s:v>15</s:v>
      </s:c>
      <s:c r="AP5" s="350">
        <s:v>16</s:v>
      </s:c>
      <s:c r="AQ5" s="350">
        <s:v>13</s:v>
      </s:c>
      <s:c r="AR5" s="350">
        <s:v>14</s:v>
      </s:c>
      <s:c r="AS5" s="350">
        <s:v>15</s:v>
      </s:c>
      <s:c r="AT5" s="350">
        <s:v>16</s:v>
      </s:c>
      <s:c r="AU5" s="350">
        <s:v>13</s:v>
      </s:c>
      <s:c r="AV5" s="350">
        <s:v>14</s:v>
      </s:c>
      <s:c r="AW5" s="350">
        <s:v>15</s:v>
      </s:c>
      <s:c r="AX5" s="350">
        <s:v>16</s:v>
      </s:c>
      <s:c r="AY5" s="350">
        <s:v>13</s:v>
      </s:c>
      <s:c r="AZ5" s="350">
        <s:v>14</s:v>
      </s:c>
      <s:c r="BA5" s="350">
        <s:v>15</s:v>
      </s:c>
      <s:c r="BB5" s="350">
        <s:v>16</s:v>
      </s:c>
      <s:c r="BC5" s="350">
        <s:v>13</s:v>
      </s:c>
      <s:c r="BD5" s="350">
        <s:v>14</s:v>
      </s:c>
      <s:c r="BE5" s="350">
        <s:v>15</s:v>
      </s:c>
      <s:c r="BF5" s="350">
        <s:v>16</s:v>
      </s:c>
      <s:c r="BG5" s="350">
        <s:v>13</s:v>
      </s:c>
      <s:c r="BH5" s="350">
        <s:v>14</s:v>
      </s:c>
      <s:c r="BI5" s="350">
        <s:v>15</s:v>
      </s:c>
      <s:c r="BJ5" s="350">
        <s:v>16</s:v>
      </s:c>
      <s:c r="BK5" s="350">
        <s:v>13</s:v>
      </s:c>
      <s:c r="BL5" s="350">
        <s:v>14</s:v>
      </s:c>
      <s:c r="BM5" s="350">
        <s:v>15</s:v>
      </s:c>
      <s:c r="BN5" s="351">
        <s:v>16</s:v>
      </s:c>
    </s:row>
    <s:row r="6" ht="24">
      <s:c r="B6" s="339"/>
      <s:c r="C6" s="340"/>
      <s:c r="D6" s="343"/>
      <s:c r="E6" s="348" t="s">
        <s:v>191</s:v>
      </s:c>
      <s:c r="F6" s="343" t="s">
        <s:v>192</s:v>
      </s:c>
      <s:c r="G6" s="343" t="s">
        <s:v>191</s:v>
      </s:c>
      <s:c r="H6" s="343" t="s">
        <s:v>191</s:v>
      </s:c>
      <s:c r="I6" s="343" t="s">
        <s:v>191</s:v>
      </s:c>
      <s:c r="J6" s="343" t="s">
        <s:v>191</s:v>
      </s:c>
      <s:c r="K6" s="343" t="s">
        <s:v>191</s:v>
      </s:c>
      <s:c r="L6" s="343" t="s">
        <s:v>191</s:v>
      </s:c>
      <s:c r="M6" s="352" t="s">
        <s:v>191</s:v>
      </s:c>
      <s:c r="N6" s="343" t="s">
        <s:v>191</s:v>
      </s:c>
      <s:c r="O6" s="343" t="s">
        <s:v>191</s:v>
      </s:c>
      <s:c r="P6" s="343" t="s">
        <s:v>191</s:v>
      </s:c>
      <s:c r="S6" s="353"/>
      <s:c r="T6" s="353"/>
      <s:c r="U6" s="353"/>
      <s:c r="V6" s="353"/>
      <s:c r="W6" s="353"/>
      <s:c r="X6" s="353"/>
      <s:c r="Y6" s="353"/>
      <s:c r="Z6" s="353"/>
      <s:c r="AA6" s="353"/>
      <s:c r="AB6" s="353"/>
      <s:c r="AC6" s="353"/>
      <s:c r="AD6" s="353"/>
      <s:c r="AE6" s="353"/>
      <s:c r="AF6" s="353"/>
      <s:c r="AG6" s="353"/>
      <s:c r="AH6" s="353"/>
      <s:c r="AI6" s="353"/>
      <s:c r="AJ6" s="353"/>
      <s:c r="AK6" s="353"/>
      <s:c r="AL6" s="353"/>
      <s:c r="AM6" s="353"/>
      <s:c r="AN6" s="353"/>
      <s:c r="AO6" s="353"/>
      <s:c r="AP6" s="353"/>
      <s:c r="AQ6" s="353"/>
      <s:c r="AR6" s="353"/>
      <s:c r="AS6" s="353"/>
      <s:c r="AT6" s="353"/>
      <s:c r="AU6" s="353"/>
      <s:c r="AV6" s="353"/>
      <s:c r="AW6" s="353"/>
      <s:c r="AX6" s="353"/>
      <s:c r="AY6" s="353"/>
      <s:c r="AZ6" s="353"/>
      <s:c r="BA6" s="353"/>
      <s:c r="BB6" s="353"/>
      <s:c r="BC6" s="353"/>
      <s:c r="BD6" s="353"/>
      <s:c r="BE6" s="353"/>
      <s:c r="BF6" s="353"/>
      <s:c r="BG6" s="353"/>
      <s:c r="BH6" s="353"/>
      <s:c r="BI6" s="353"/>
      <s:c r="BJ6" s="353"/>
      <s:c r="BK6" s="353"/>
      <s:c r="BL6" s="353"/>
      <s:c r="BM6" s="353"/>
      <s:c r="BN6" s="354"/>
    </s:row>
    <s:row r="7">
      <s:c r="B7" s="355"/>
      <s:c r="C7" s="356" t="s">
        <s:v>193</s:v>
      </s:c>
      <s:c r="D7" s="356"/>
      <s:c r="E7" s="357">
        <s:f>E8</s:f>
        <s:v>0</s:v>
      </s:c>
      <s:c r="F7" s="358">
        <s:f>F8</s:f>
        <s:v>0</s:v>
      </s:c>
      <s:c r="G7" s="359">
        <s:f>G5*G8</s:f>
        <s:v>0</s:v>
      </s:c>
      <s:c r="H7" s="359">
        <s:f>H5*H8</s:f>
        <s:v>0</s:v>
      </s:c>
      <s:c r="I7" s="359">
        <s:f>I5*I8</s:f>
        <s:v>0</s:v>
      </s:c>
      <s:c r="J7" s="359">
        <s:f>J5*J8</s:f>
        <s:v>0</s:v>
      </s:c>
      <s:c r="K7" s="359">
        <s:f>K5*K8</s:f>
        <s:v>0</s:v>
      </s:c>
      <s:c r="L7" s="359">
        <s:f>L5*L8</s:f>
        <s:v>0</s:v>
      </s:c>
      <s:c r="M7" s="359">
        <s:f>M5*M8</s:f>
        <s:v>0</s:v>
      </s:c>
      <s:c r="N7" s="359">
        <s:f>N5*N8</s:f>
        <s:v>0</s:v>
      </s:c>
      <s:c r="O7" s="359">
        <s:f>O5*O8</s:f>
        <s:v>0</s:v>
      </s:c>
      <s:c r="P7" s="359">
        <s:f>P5*P8</s:f>
        <s:v>0</s:v>
      </s:c>
      <s:c r="S7" s="353"/>
      <s:c r="T7" s="353"/>
      <s:c r="U7" s="353"/>
      <s:c r="V7" s="353"/>
      <s:c r="W7" s="353"/>
      <s:c r="X7" s="353"/>
      <s:c r="Y7" s="353"/>
      <s:c r="Z7" s="353"/>
      <s:c r="AA7" s="353"/>
      <s:c r="AB7" s="353"/>
      <s:c r="AC7" s="353"/>
      <s:c r="AD7" s="353"/>
      <s:c r="AE7" s="353"/>
      <s:c r="AF7" s="353"/>
      <s:c r="AG7" s="353"/>
      <s:c r="AH7" s="353"/>
      <s:c r="AI7" s="353"/>
      <s:c r="AJ7" s="353"/>
      <s:c r="AK7" s="353"/>
      <s:c r="AL7" s="353"/>
      <s:c r="AM7" s="353"/>
      <s:c r="AN7" s="353"/>
      <s:c r="AO7" s="353"/>
      <s:c r="AP7" s="353"/>
      <s:c r="AQ7" s="353"/>
      <s:c r="AR7" s="353"/>
      <s:c r="AS7" s="353"/>
      <s:c r="AT7" s="353"/>
      <s:c r="AU7" s="353"/>
      <s:c r="AV7" s="353"/>
      <s:c r="AW7" s="353"/>
      <s:c r="AX7" s="353"/>
      <s:c r="AY7" s="353"/>
      <s:c r="AZ7" s="353"/>
      <s:c r="BA7" s="353"/>
      <s:c r="BB7" s="353"/>
      <s:c r="BC7" s="353"/>
      <s:c r="BD7" s="353"/>
      <s:c r="BE7" s="353"/>
      <s:c r="BF7" s="353"/>
      <s:c r="BG7" s="353"/>
      <s:c r="BH7" s="353"/>
      <s:c r="BI7" s="353"/>
      <s:c r="BJ7" s="353"/>
      <s:c r="BK7" s="353"/>
      <s:c r="BL7" s="353"/>
      <s:c r="BM7" s="353"/>
      <s:c r="BN7" s="354"/>
    </s:row>
    <s:row r="8">
      <s:c r="B8" s="355"/>
      <s:c r="C8" s="360" t="s">
        <s:v>194</s:v>
      </s:c>
      <s:c r="D8" s="360"/>
      <s:c r="E8" s="357">
        <s:f>SUM(E9:E38)/2</s:f>
        <s:v>0</s:v>
      </s:c>
      <s:c r="F8" s="358">
        <s:f>SUM(F9:F38)/2</s:f>
        <s:v>0</s:v>
      </s:c>
      <s:c r="G8" s="358">
        <s:f>SUM(G9:G38)/2</s:f>
        <s:v>0</s:v>
      </s:c>
      <s:c r="H8" s="358">
        <s:f>SUM(H9:H38)/2</s:f>
        <s:v>0</s:v>
      </s:c>
      <s:c r="I8" s="358">
        <s:f>SUM(I9:I38)/2</s:f>
        <s:v>0</s:v>
      </s:c>
      <s:c r="J8" s="358">
        <s:f>SUM(J9:J38)/2</s:f>
        <s:v>0</s:v>
      </s:c>
      <s:c r="K8" s="358">
        <s:f>SUM(K9:K38)/2</s:f>
        <s:v>0</s:v>
      </s:c>
      <s:c r="L8" s="358">
        <s:f>SUM(L9:L38)/2</s:f>
        <s:v>0</s:v>
      </s:c>
      <s:c r="M8" s="358">
        <s:f>SUM(M9:M38)/2</s:f>
        <s:v>0</s:v>
      </s:c>
      <s:c r="N8" s="358">
        <s:f>SUM(N9:N38)/2</s:f>
        <s:v>0</s:v>
      </s:c>
      <s:c r="O8" s="358">
        <s:f>SUM(O9:O38)/2</s:f>
        <s:v>0</s:v>
      </s:c>
      <s:c r="P8" s="358">
        <s:f>SUM(P9:P38)/2</s:f>
        <s:v>0</s:v>
      </s:c>
      <s:c r="Q8" s="331">
        <s:f>SUM(S8:BJ8)</s:f>
        <s:v>44</s:v>
      </s:c>
      <s:c r="R8" s="331">
        <s:f>SUM(S8:BJ8)</s:f>
        <s:v>44</s:v>
      </s:c>
      <s:c r="S8" s="361">
        <s:v>1</s:v>
      </s:c>
      <s:c r="T8" s="361">
        <s:v>1</s:v>
      </s:c>
      <s:c r="U8" s="361">
        <s:v>1</s:v>
      </s:c>
      <s:c r="V8" s="361">
        <s:v>1</s:v>
      </s:c>
      <s:c r="W8" s="361">
        <s:v>1</s:v>
      </s:c>
      <s:c r="X8" s="361">
        <s:v>1</s:v>
      </s:c>
      <s:c r="Y8" s="361">
        <s:v>1</s:v>
      </s:c>
      <s:c r="Z8" s="361">
        <s:v>1</s:v>
      </s:c>
      <s:c r="AA8" s="361">
        <s:v>1</s:v>
      </s:c>
      <s:c r="AB8" s="361">
        <s:v>1</s:v>
      </s:c>
      <s:c r="AC8" s="361">
        <s:v>1</s:v>
      </s:c>
      <s:c r="AD8" s="361">
        <s:v>1</s:v>
      </s:c>
      <s:c r="AE8" s="361">
        <s:v>1</s:v>
      </s:c>
      <s:c r="AF8" s="361">
        <s:v>1</s:v>
      </s:c>
      <s:c r="AG8" s="361">
        <s:v>1</s:v>
      </s:c>
      <s:c r="AH8" s="361">
        <s:v>1</s:v>
      </s:c>
      <s:c r="AI8" s="361">
        <s:v>1</s:v>
      </s:c>
      <s:c r="AJ8" s="361">
        <s:v>1</s:v>
      </s:c>
      <s:c r="AK8" s="361">
        <s:v>1</s:v>
      </s:c>
      <s:c r="AL8" s="361">
        <s:v>1</s:v>
      </s:c>
      <s:c r="AM8" s="361">
        <s:v>1</s:v>
      </s:c>
      <s:c r="AN8" s="361">
        <s:v>1</s:v>
      </s:c>
      <s:c r="AO8" s="361">
        <s:v>1</s:v>
      </s:c>
      <s:c r="AP8" s="361">
        <s:v>1</s:v>
      </s:c>
      <s:c r="AQ8" s="361">
        <s:v>1</s:v>
      </s:c>
      <s:c r="AR8" s="361">
        <s:v>1</s:v>
      </s:c>
      <s:c r="AS8" s="361">
        <s:v>1</s:v>
      </s:c>
      <s:c r="AT8" s="361">
        <s:v>1</s:v>
      </s:c>
      <s:c r="AU8" s="361">
        <s:v>1</s:v>
      </s:c>
      <s:c r="AV8" s="361">
        <s:v>1</s:v>
      </s:c>
      <s:c r="AW8" s="361">
        <s:v>1</s:v>
      </s:c>
      <s:c r="AX8" s="361">
        <s:v>1</s:v>
      </s:c>
      <s:c r="AY8" s="361">
        <s:v>1</s:v>
      </s:c>
      <s:c r="AZ8" s="361">
        <s:v>1</s:v>
      </s:c>
      <s:c r="BA8" s="361">
        <s:v>1</s:v>
      </s:c>
      <s:c r="BB8" s="361">
        <s:v>1</s:v>
      </s:c>
      <s:c r="BC8" s="361">
        <s:v>1</s:v>
      </s:c>
      <s:c r="BD8" s="361">
        <s:v>1</s:v>
      </s:c>
      <s:c r="BE8" s="361">
        <s:v>1</s:v>
      </s:c>
      <s:c r="BF8" s="361">
        <s:v>1</s:v>
      </s:c>
      <s:c r="BG8" s="361">
        <s:v>1</s:v>
      </s:c>
      <s:c r="BH8" s="361">
        <s:v>1</s:v>
      </s:c>
      <s:c r="BI8" s="361">
        <s:v>1</s:v>
      </s:c>
      <s:c r="BJ8" s="361">
        <s:v>1</s:v>
      </s:c>
      <s:c r="BK8" s="361">
        <s:v>1</s:v>
      </s:c>
      <s:c r="BL8" s="361">
        <s:v>1</s:v>
      </s:c>
      <s:c r="BM8" s="361">
        <s:v>1</s:v>
      </s:c>
      <s:c r="BN8" s="362">
        <s:v>1</s:v>
      </s:c>
    </s:row>
    <s:row r="9" ht="24">
      <s:c r="B9" s="363">
        <s:v>1</s:v>
      </s:c>
      <s:c r="C9" s="360" t="s">
        <s:v>195</s:v>
      </s:c>
      <s:c r="D9" s="360"/>
      <s:c r="E9" s="364">
        <s:f>SUM(E10:E15)</s:f>
        <s:v>0</s:v>
      </s:c>
      <s:c r="F9" s="364">
        <s:f>SUM(F10:F15)</s:f>
        <s:v>0</s:v>
      </s:c>
      <s:c r="G9" s="364">
        <s:f>SUM(G10:G15)</s:f>
        <s:v>0</s:v>
      </s:c>
      <s:c r="H9" s="364">
        <s:f>SUM(H10:H15)</s:f>
        <s:v>0</s:v>
      </s:c>
      <s:c r="I9" s="364">
        <s:f>SUM(I10:I15)</s:f>
        <s:v>0</s:v>
      </s:c>
      <s:c r="J9" s="364">
        <s:f>SUM(J10:J15)</s:f>
        <s:v>0</s:v>
      </s:c>
      <s:c r="K9" s="364">
        <s:f>SUM(K10:K15)</s:f>
        <s:v>0</s:v>
      </s:c>
      <s:c r="L9" s="364">
        <s:f>SUM(L10:L15)</s:f>
        <s:v>0</s:v>
      </s:c>
      <s:c r="M9" s="364">
        <s:f>SUM(M10:M15)</s:f>
        <s:v>0</s:v>
      </s:c>
      <s:c r="N9" s="364">
        <s:f>SUM(N10:N15)</s:f>
        <s:v>0</s:v>
      </s:c>
      <s:c r="O9" s="364">
        <s:f>SUM(O10:O15)</s:f>
        <s:v>0</s:v>
      </s:c>
      <s:c r="P9" s="364">
        <s:f>SUM(P10:P15)</s:f>
        <s:v>0</s:v>
      </s:c>
      <s:c r="Q9" s="331">
        <s:f>MAX(G9:P9)/5</s:f>
        <s:v>0</s:v>
      </s:c>
      <s:c r="R9" s="331">
        <s:f>MAX(G9:Q9)/5</s:f>
        <s:v>0</s:v>
      </s:c>
      <s:c r="S9" s="365">
        <s:v>1</s:v>
      </s:c>
      <s:c r="T9" s="365">
        <s:v>1</s:v>
      </s:c>
      <s:c r="U9" s="365">
        <s:v>1</s:v>
      </s:c>
      <s:c r="V9" s="365">
        <s:v>1</s:v>
      </s:c>
      <s:c r="W9" s="365">
        <s:v>1</s:v>
      </s:c>
      <s:c r="X9" s="365">
        <s:v>1</s:v>
      </s:c>
      <s:c r="Y9" s="365">
        <s:v>1</s:v>
      </s:c>
      <s:c r="Z9" s="365">
        <s:v>1</s:v>
      </s:c>
      <s:c r="AA9" s="365">
        <s:v>1</s:v>
      </s:c>
      <s:c r="AB9" s="366"/>
      <s:c r="AC9" s="366"/>
      <s:c r="AD9" s="366"/>
      <s:c r="AE9" s="366"/>
      <s:c r="AF9" s="366"/>
      <s:c r="AG9" s="366"/>
      <s:c r="AH9" s="366"/>
      <s:c r="AI9" s="366"/>
      <s:c r="AJ9" s="366"/>
      <s:c r="AK9" s="366"/>
      <s:c r="AL9" s="366"/>
      <s:c r="AM9" s="366"/>
      <s:c r="AN9" s="366"/>
      <s:c r="AO9" s="366"/>
      <s:c r="AP9" s="366"/>
      <s:c r="AQ9" s="366"/>
      <s:c r="AR9" s="366"/>
      <s:c r="AS9" s="366"/>
      <s:c r="AT9" s="366"/>
      <s:c r="AU9" s="366"/>
      <s:c r="AV9" s="366"/>
      <s:c r="AW9" s="366"/>
      <s:c r="AX9" s="366"/>
      <s:c r="AY9" s="366"/>
      <s:c r="AZ9" s="366"/>
      <s:c r="BA9" s="366"/>
      <s:c r="BB9" s="366"/>
      <s:c r="BC9" s="366"/>
      <s:c r="BD9" s="366"/>
      <s:c r="BE9" s="366"/>
      <s:c r="BF9" s="366"/>
      <s:c r="BG9" s="366"/>
      <s:c r="BH9" s="366"/>
      <s:c r="BI9" s="366"/>
      <s:c r="BJ9" s="366"/>
      <s:c r="BK9" s="366"/>
      <s:c r="BL9" s="366"/>
      <s:c r="BM9" s="366"/>
      <s:c r="BN9" s="367"/>
    </s:row>
    <s:row r="10">
      <s:c r="B10" s="368"/>
      <s:c r="C10" s="369"/>
      <s:c r="D10" s="369"/>
      <s:c r="E10" s="370"/>
      <s:c r="F10" s="371"/>
      <s:c r="G10" s="371"/>
      <s:c r="H10" s="371"/>
      <s:c r="I10" s="371"/>
      <s:c r="J10" s="371"/>
      <s:c r="K10" s="371"/>
      <s:c r="L10" s="371"/>
      <s:c r="M10" s="371"/>
      <s:c r="N10" s="371"/>
      <s:c r="O10" s="371"/>
      <s:c r="P10" s="371"/>
      <s:c r="Q10" s="331">
        <s:f>MAX(G10:P10)/5</s:f>
        <s:v>0</s:v>
      </s:c>
      <s:c r="R10" s="331">
        <s:f>MAX(G10:Q10)/5</s:f>
        <s:v>0</s:v>
      </s:c>
      <s:c r="S10" s="361"/>
      <s:c r="T10" s="361"/>
      <s:c r="U10" s="361"/>
      <s:c r="V10" s="361"/>
      <s:c r="W10" s="353"/>
      <s:c r="X10" s="353"/>
      <s:c r="Y10" s="353"/>
      <s:c r="Z10" s="353"/>
      <s:c r="AA10" s="353"/>
      <s:c r="AB10" s="353"/>
      <s:c r="AC10" s="353"/>
      <s:c r="AD10" s="353"/>
      <s:c r="AE10" s="353"/>
      <s:c r="AF10" s="353"/>
      <s:c r="AG10" s="353"/>
      <s:c r="AH10" s="353"/>
      <s:c r="AI10" s="353"/>
      <s:c r="AJ10" s="353"/>
      <s:c r="AK10" s="353"/>
      <s:c r="AL10" s="353"/>
      <s:c r="AM10" s="353"/>
      <s:c r="AN10" s="353"/>
      <s:c r="AO10" s="353"/>
      <s:c r="AP10" s="353"/>
      <s:c r="AQ10" s="353"/>
      <s:c r="AR10" s="353"/>
      <s:c r="AS10" s="353"/>
      <s:c r="AT10" s="353"/>
      <s:c r="AU10" s="353"/>
      <s:c r="AV10" s="353"/>
      <s:c r="AW10" s="353"/>
      <s:c r="AX10" s="353"/>
      <s:c r="AY10" s="353"/>
      <s:c r="AZ10" s="353"/>
      <s:c r="BA10" s="353"/>
      <s:c r="BB10" s="353"/>
      <s:c r="BC10" s="353"/>
      <s:c r="BD10" s="353"/>
      <s:c r="BE10" s="353"/>
      <s:c r="BF10" s="353"/>
      <s:c r="BG10" s="353"/>
      <s:c r="BH10" s="353"/>
      <s:c r="BI10" s="353"/>
      <s:c r="BJ10" s="353"/>
      <s:c r="BK10" s="353"/>
      <s:c r="BL10" s="353"/>
      <s:c r="BM10" s="353"/>
      <s:c r="BN10" s="354"/>
    </s:row>
    <s:row r="11">
      <s:c r="B11" s="372"/>
      <s:c r="C11" s="369"/>
      <s:c r="D11" s="369"/>
      <s:c r="E11" s="370"/>
      <s:c r="F11" s="371"/>
      <s:c r="G11" s="373"/>
      <s:c r="H11" s="373"/>
      <s:c r="I11" s="371"/>
      <s:c r="J11" s="371"/>
      <s:c r="K11" s="371"/>
      <s:c r="L11" s="371"/>
      <s:c r="M11" s="371"/>
      <s:c r="N11" s="371"/>
      <s:c r="O11" s="371"/>
      <s:c r="P11" s="371"/>
      <s:c r="Q11" s="331">
        <s:f>MAX(G11:P11)/5</s:f>
        <s:v>0</s:v>
      </s:c>
      <s:c r="R11" s="331">
        <s:f>MAX(G11:Q11)/5</s:f>
        <s:v>0</s:v>
      </s:c>
      <s:c r="S11" s="353"/>
      <s:c r="T11" s="353"/>
      <s:c r="U11" s="361"/>
      <s:c r="V11" s="361"/>
      <s:c r="W11" s="361"/>
      <s:c r="X11" s="361"/>
      <s:c r="Y11" s="353"/>
      <s:c r="Z11" s="353"/>
      <s:c r="AA11" s="353"/>
      <s:c r="AB11" s="353"/>
      <s:c r="AC11" s="353"/>
      <s:c r="AD11" s="353"/>
      <s:c r="AE11" s="353"/>
      <s:c r="AF11" s="353"/>
      <s:c r="AG11" s="353"/>
      <s:c r="AH11" s="353"/>
      <s:c r="AI11" s="353"/>
      <s:c r="AJ11" s="353"/>
      <s:c r="AK11" s="353"/>
      <s:c r="AL11" s="353"/>
      <s:c r="AM11" s="353"/>
      <s:c r="AN11" s="353"/>
      <s:c r="AO11" s="353"/>
      <s:c r="AP11" s="353"/>
      <s:c r="AQ11" s="353"/>
      <s:c r="AR11" s="353"/>
      <s:c r="AS11" s="353"/>
      <s:c r="AT11" s="353"/>
      <s:c r="AU11" s="353"/>
      <s:c r="AV11" s="353"/>
      <s:c r="AW11" s="353"/>
      <s:c r="AX11" s="353"/>
      <s:c r="AY11" s="353"/>
      <s:c r="AZ11" s="353"/>
      <s:c r="BA11" s="353"/>
      <s:c r="BB11" s="353"/>
      <s:c r="BC11" s="353"/>
      <s:c r="BD11" s="353"/>
      <s:c r="BE11" s="353"/>
      <s:c r="BF11" s="353"/>
      <s:c r="BG11" s="353"/>
      <s:c r="BH11" s="353"/>
      <s:c r="BI11" s="353"/>
      <s:c r="BJ11" s="353"/>
      <s:c r="BK11" s="353"/>
      <s:c r="BL11" s="353"/>
      <s:c r="BM11" s="353"/>
      <s:c r="BN11" s="354"/>
    </s:row>
    <s:row r="12">
      <s:c r="B12" s="372"/>
      <s:c r="C12" s="369"/>
      <s:c r="D12" s="369"/>
      <s:c r="E12" s="370"/>
      <s:c r="F12" s="371"/>
      <s:c r="G12" s="373"/>
      <s:c r="H12" s="373"/>
      <s:c r="I12" s="371"/>
      <s:c r="J12" s="371"/>
      <s:c r="K12" s="371"/>
      <s:c r="L12" s="371"/>
      <s:c r="M12" s="371"/>
      <s:c r="N12" s="371"/>
      <s:c r="O12" s="371"/>
      <s:c r="P12" s="371"/>
      <s:c r="Q12" s="331">
        <s:f>MAX(G12:P12)/5</s:f>
        <s:v>0</s:v>
      </s:c>
      <s:c r="R12" s="331">
        <s:f>MAX(G12:Q12)/5</s:f>
        <s:v>0</s:v>
      </s:c>
      <s:c r="S12" s="353"/>
      <s:c r="T12" s="353"/>
      <s:c r="U12" s="361"/>
      <s:c r="V12" s="361"/>
      <s:c r="W12" s="353"/>
      <s:c r="X12" s="353"/>
      <s:c r="Y12" s="353"/>
      <s:c r="Z12" s="353"/>
      <s:c r="AA12" s="353"/>
      <s:c r="AB12" s="353"/>
      <s:c r="AC12" s="353"/>
      <s:c r="AD12" s="353"/>
      <s:c r="AE12" s="353"/>
      <s:c r="AF12" s="353"/>
      <s:c r="AG12" s="353"/>
      <s:c r="AH12" s="353"/>
      <s:c r="AI12" s="353"/>
      <s:c r="AJ12" s="353"/>
      <s:c r="AK12" s="353"/>
      <s:c r="AL12" s="353"/>
      <s:c r="AM12" s="353"/>
      <s:c r="AN12" s="353"/>
      <s:c r="AO12" s="353"/>
      <s:c r="AP12" s="353"/>
      <s:c r="AQ12" s="353"/>
      <s:c r="AR12" s="353"/>
      <s:c r="AS12" s="353"/>
      <s:c r="AT12" s="353"/>
      <s:c r="AU12" s="353"/>
      <s:c r="AV12" s="353"/>
      <s:c r="AW12" s="353"/>
      <s:c r="AX12" s="353"/>
      <s:c r="AY12" s="353"/>
      <s:c r="AZ12" s="353"/>
      <s:c r="BA12" s="353"/>
      <s:c r="BB12" s="353"/>
      <s:c r="BC12" s="353"/>
      <s:c r="BD12" s="353"/>
      <s:c r="BE12" s="353"/>
      <s:c r="BF12" s="353"/>
      <s:c r="BG12" s="353"/>
      <s:c r="BH12" s="353"/>
      <s:c r="BI12" s="353"/>
      <s:c r="BJ12" s="353"/>
      <s:c r="BK12" s="353"/>
      <s:c r="BL12" s="353"/>
      <s:c r="BM12" s="353"/>
      <s:c r="BN12" s="354"/>
    </s:row>
    <s:row r="13">
      <s:c r="B13" s="372"/>
      <s:c r="C13" s="369"/>
      <s:c r="D13" s="369"/>
      <s:c r="E13" s="370"/>
      <s:c r="F13" s="371"/>
      <s:c r="G13" s="373"/>
      <s:c r="H13" s="373"/>
      <s:c r="I13" s="371"/>
      <s:c r="J13" s="371"/>
      <s:c r="K13" s="371"/>
      <s:c r="L13" s="371"/>
      <s:c r="M13" s="371"/>
      <s:c r="N13" s="371"/>
      <s:c r="O13" s="371"/>
      <s:c r="P13" s="371"/>
      <s:c r="Q13" s="331">
        <s:f>MAX(G13:P13)/5</s:f>
        <s:v>0</s:v>
      </s:c>
      <s:c r="R13" s="331">
        <s:f>MAX(G13:Q13)/5</s:f>
        <s:v>0</s:v>
      </s:c>
      <s:c r="S13" s="353"/>
      <s:c r="T13" s="353"/>
      <s:c r="U13" s="353"/>
      <s:c r="V13" s="353"/>
      <s:c r="W13" s="361"/>
      <s:c r="X13" s="361"/>
      <s:c r="Y13" s="353"/>
      <s:c r="Z13" s="353"/>
      <s:c r="AA13" s="353"/>
      <s:c r="AB13" s="353"/>
      <s:c r="AC13" s="353"/>
      <s:c r="AD13" s="353"/>
      <s:c r="AE13" s="353"/>
      <s:c r="AF13" s="353"/>
      <s:c r="AG13" s="353"/>
      <s:c r="AH13" s="353"/>
      <s:c r="AI13" s="353"/>
      <s:c r="AJ13" s="353"/>
      <s:c r="AK13" s="353"/>
      <s:c r="AL13" s="353"/>
      <s:c r="AM13" s="353"/>
      <s:c r="AN13" s="353"/>
      <s:c r="AO13" s="353"/>
      <s:c r="AP13" s="353"/>
      <s:c r="AQ13" s="353"/>
      <s:c r="AR13" s="353"/>
      <s:c r="AS13" s="353"/>
      <s:c r="AT13" s="353"/>
      <s:c r="AU13" s="353"/>
      <s:c r="AV13" s="353"/>
      <s:c r="AW13" s="353"/>
      <s:c r="AX13" s="353"/>
      <s:c r="AY13" s="353"/>
      <s:c r="AZ13" s="353"/>
      <s:c r="BA13" s="353"/>
      <s:c r="BB13" s="353"/>
      <s:c r="BC13" s="353"/>
      <s:c r="BD13" s="353"/>
      <s:c r="BE13" s="353"/>
      <s:c r="BF13" s="353"/>
      <s:c r="BG13" s="353"/>
      <s:c r="BH13" s="353"/>
      <s:c r="BI13" s="353"/>
      <s:c r="BJ13" s="353"/>
      <s:c r="BK13" s="353"/>
      <s:c r="BL13" s="353"/>
      <s:c r="BM13" s="353"/>
      <s:c r="BN13" s="354"/>
    </s:row>
    <s:row r="14" spans="2:66" ht="24" customHeight="1" outlineLevel="1">
      <s:c r="B14" s="372"/>
      <s:c r="C14" s="369"/>
      <s:c r="D14" s="369"/>
      <s:c r="E14" s="370"/>
      <s:c r="F14" s="371"/>
      <s:c r="G14" s="373"/>
      <s:c r="H14" s="373"/>
      <s:c r="I14" s="371"/>
      <s:c r="J14" s="371"/>
      <s:c r="K14" s="371"/>
      <s:c r="L14" s="371"/>
      <s:c r="M14" s="371"/>
      <s:c r="N14" s="371"/>
      <s:c r="O14" s="371"/>
      <s:c r="P14" s="371"/>
      <s:c r="Q14" s="331">
        <s:f>MAX(G14:P14)/5</s:f>
        <s:v>0</s:v>
      </s:c>
      <s:c r="R14" s="331">
        <s:f>MAX(G14:Q14)/5</s:f>
        <s:v>0</s:v>
      </s:c>
      <s:c r="S14" s="353"/>
      <s:c r="T14" s="353"/>
      <s:c r="U14" s="353"/>
      <s:c r="V14" s="353"/>
      <s:c r="W14" s="361"/>
      <s:c r="X14" s="361"/>
      <s:c r="Y14" s="361"/>
      <s:c r="Z14" s="361"/>
      <s:c r="AA14" s="361"/>
      <s:c r="AB14" s="353"/>
      <s:c r="AC14" s="353"/>
      <s:c r="AD14" s="353"/>
      <s:c r="AE14" s="353"/>
      <s:c r="AF14" s="353"/>
      <s:c r="AG14" s="353"/>
      <s:c r="AH14" s="353"/>
      <s:c r="AI14" s="353"/>
      <s:c r="AJ14" s="353"/>
      <s:c r="AK14" s="353"/>
      <s:c r="AL14" s="353"/>
      <s:c r="AM14" s="353"/>
      <s:c r="AN14" s="353"/>
      <s:c r="AO14" s="353"/>
      <s:c r="AP14" s="353"/>
      <s:c r="AQ14" s="353"/>
      <s:c r="AR14" s="353"/>
      <s:c r="AS14" s="353"/>
      <s:c r="AT14" s="353"/>
      <s:c r="AU14" s="353"/>
      <s:c r="AV14" s="353"/>
      <s:c r="AW14" s="353"/>
      <s:c r="AX14" s="353"/>
      <s:c r="AY14" s="353"/>
      <s:c r="AZ14" s="353"/>
      <s:c r="BA14" s="353"/>
      <s:c r="BB14" s="353"/>
      <s:c r="BC14" s="353"/>
      <s:c r="BD14" s="353"/>
      <s:c r="BE14" s="353"/>
      <s:c r="BF14" s="353"/>
      <s:c r="BG14" s="353"/>
      <s:c r="BH14" s="353"/>
      <s:c r="BI14" s="353"/>
      <s:c r="BJ14" s="353"/>
      <s:c r="BK14" s="353"/>
      <s:c r="BL14" s="353"/>
      <s:c r="BM14" s="353"/>
      <s:c r="BN14" s="354"/>
    </s:row>
    <s:row r="15">
      <s:c r="B15" s="368"/>
      <s:c r="C15" s="369"/>
      <s:c r="D15" s="369"/>
      <s:c r="E15" s="370"/>
      <s:c r="F15" s="371"/>
      <s:c r="G15" s="373"/>
      <s:c r="H15" s="373"/>
      <s:c r="I15" s="371"/>
      <s:c r="J15" s="371"/>
      <s:c r="K15" s="371"/>
      <s:c r="L15" s="371"/>
      <s:c r="M15" s="371"/>
      <s:c r="N15" s="371"/>
      <s:c r="O15" s="371"/>
      <s:c r="P15" s="371"/>
      <s:c r="Q15" s="331">
        <s:f>MAX(G15:P15)/5</s:f>
        <s:v>0</s:v>
      </s:c>
      <s:c r="R15" s="331">
        <s:f>MAX(G15:Q15)/5</s:f>
        <s:v>0</s:v>
      </s:c>
      <s:c r="S15" s="353"/>
      <s:c r="T15" s="353"/>
      <s:c r="U15" s="353"/>
      <s:c r="V15" s="353"/>
      <s:c r="W15" s="353"/>
      <s:c r="X15" s="353"/>
      <s:c r="Y15" s="353"/>
      <s:c r="Z15" s="361"/>
      <s:c r="AA15" s="361"/>
      <s:c r="AB15" s="353"/>
      <s:c r="AC15" s="353"/>
      <s:c r="AD15" s="353"/>
      <s:c r="AE15" s="353"/>
      <s:c r="AF15" s="353"/>
      <s:c r="AG15" s="353"/>
      <s:c r="AH15" s="353"/>
      <s:c r="AI15" s="353"/>
      <s:c r="AJ15" s="353"/>
      <s:c r="AK15" s="353"/>
      <s:c r="AL15" s="353"/>
      <s:c r="AM15" s="353"/>
      <s:c r="AN15" s="353"/>
      <s:c r="AO15" s="353"/>
      <s:c r="AP15" s="353"/>
      <s:c r="AQ15" s="353"/>
      <s:c r="AR15" s="353"/>
      <s:c r="AS15" s="353"/>
      <s:c r="AT15" s="353"/>
      <s:c r="AU15" s="353"/>
      <s:c r="AV15" s="353"/>
      <s:c r="AW15" s="353"/>
      <s:c r="AX15" s="353"/>
      <s:c r="AY15" s="353"/>
      <s:c r="AZ15" s="353"/>
      <s:c r="BA15" s="353"/>
      <s:c r="BB15" s="353"/>
      <s:c r="BC15" s="353"/>
      <s:c r="BD15" s="353"/>
      <s:c r="BE15" s="353"/>
      <s:c r="BF15" s="353"/>
      <s:c r="BG15" s="353"/>
      <s:c r="BH15" s="353"/>
      <s:c r="BI15" s="353"/>
      <s:c r="BJ15" s="353"/>
      <s:c r="BK15" s="353"/>
      <s:c r="BL15" s="353"/>
      <s:c r="BM15" s="353"/>
      <s:c r="BN15" s="354"/>
    </s:row>
    <s:row r="16">
      <s:c r="B16" s="374">
        <s:v>2</s:v>
      </s:c>
      <s:c r="C16" s="360" t="s">
        <s:v>196</s:v>
      </s:c>
      <s:c r="D16" s="360"/>
      <s:c r="E16" s="375">
        <s:f>SUM(E17:E20)</s:f>
        <s:v>0</s:v>
      </s:c>
      <s:c r="F16" s="375">
        <s:f>SUM(F17:F20)</s:f>
        <s:v>0</s:v>
      </s:c>
      <s:c r="G16" s="375">
        <s:f>SUM(G17:G20)</s:f>
        <s:v>0</s:v>
      </s:c>
      <s:c r="H16" s="375">
        <s:f>SUM(H17:H20)</s:f>
        <s:v>0</s:v>
      </s:c>
      <s:c r="I16" s="375">
        <s:f>SUM(I17:I20)</s:f>
        <s:v>0</s:v>
      </s:c>
      <s:c r="J16" s="375">
        <s:f>SUM(J17:J20)</s:f>
        <s:v>0</s:v>
      </s:c>
      <s:c r="K16" s="375">
        <s:f>SUM(K17:K20)</s:f>
        <s:v>0</s:v>
      </s:c>
      <s:c r="L16" s="375">
        <s:f>SUM(L17:L20)</s:f>
        <s:v>0</s:v>
      </s:c>
      <s:c r="M16" s="375">
        <s:f>SUM(M17:M20)</s:f>
        <s:v>0</s:v>
      </s:c>
      <s:c r="N16" s="375">
        <s:f>SUM(N17:N20)</s:f>
        <s:v>0</s:v>
      </s:c>
      <s:c r="O16" s="375">
        <s:f>SUM(O17:O20)</s:f>
        <s:v>0</s:v>
      </s:c>
      <s:c r="P16" s="375">
        <s:f>SUM(P17:P20)</s:f>
        <s:v>0</s:v>
      </s:c>
      <s:c r="Q16" s="331">
        <s:f>MAX(G16:P16)/5</s:f>
        <s:v>0</s:v>
      </s:c>
      <s:c r="R16" s="331">
        <s:f>MAX(G16:Q16)/5</s:f>
        <s:v>0</s:v>
      </s:c>
      <s:c r="S16" s="366"/>
      <s:c r="T16" s="366"/>
      <s:c r="U16" s="366"/>
      <s:c r="V16" s="366"/>
      <s:c r="W16" s="366"/>
      <s:c r="X16" s="365">
        <s:v>1</s:v>
      </s:c>
      <s:c r="Y16" s="365">
        <s:v>1</s:v>
      </s:c>
      <s:c r="Z16" s="365">
        <s:v>1</s:v>
      </s:c>
      <s:c r="AA16" s="365">
        <s:v>1</s:v>
      </s:c>
      <s:c r="AB16" s="365">
        <s:v>1</s:v>
      </s:c>
      <s:c r="AC16" s="365">
        <s:v>1</s:v>
      </s:c>
      <s:c r="AD16" s="366"/>
      <s:c r="AE16" s="366"/>
      <s:c r="AF16" s="366"/>
      <s:c r="AG16" s="366"/>
      <s:c r="AH16" s="366"/>
      <s:c r="AI16" s="366"/>
      <s:c r="AJ16" s="366"/>
      <s:c r="AK16" s="366"/>
      <s:c r="AL16" s="366"/>
      <s:c r="AM16" s="366"/>
      <s:c r="AN16" s="366"/>
      <s:c r="AO16" s="366"/>
      <s:c r="AP16" s="366"/>
      <s:c r="AQ16" s="366"/>
      <s:c r="AR16" s="366"/>
      <s:c r="AS16" s="366"/>
      <s:c r="AT16" s="366"/>
      <s:c r="AU16" s="366"/>
      <s:c r="AV16" s="366"/>
      <s:c r="AW16" s="366"/>
      <s:c r="AX16" s="366"/>
      <s:c r="AY16" s="366"/>
      <s:c r="AZ16" s="366"/>
      <s:c r="BA16" s="366"/>
      <s:c r="BB16" s="366"/>
      <s:c r="BC16" s="366"/>
      <s:c r="BD16" s="366"/>
      <s:c r="BE16" s="366"/>
      <s:c r="BF16" s="366"/>
      <s:c r="BG16" s="366"/>
      <s:c r="BH16" s="366"/>
      <s:c r="BI16" s="366"/>
      <s:c r="BJ16" s="366"/>
      <s:c r="BK16" s="366"/>
      <s:c r="BL16" s="366"/>
      <s:c r="BM16" s="366"/>
      <s:c r="BN16" s="367"/>
    </s:row>
    <s:row r="17">
      <s:c r="B17" s="372"/>
      <s:c r="C17" s="376"/>
      <s:c r="D17" s="369"/>
      <s:c r="E17" s="370"/>
      <s:c r="F17" s="371"/>
      <s:c r="G17" s="373"/>
      <s:c r="H17" s="373"/>
      <s:c r="I17" s="371"/>
      <s:c r="J17" s="371"/>
      <s:c r="K17" s="371"/>
      <s:c r="L17" s="371"/>
      <s:c r="M17" s="371"/>
      <s:c r="N17" s="371"/>
      <s:c r="O17" s="373"/>
      <s:c r="P17" s="371"/>
      <s:c r="Q17" s="331">
        <s:f>MAX(G17:P17)/5</s:f>
        <s:v>0</s:v>
      </s:c>
      <s:c r="R17" s="331">
        <s:f>MAX(G17:Q17)/5</s:f>
        <s:v>0</s:v>
      </s:c>
      <s:c r="S17" s="353"/>
      <s:c r="T17" s="353"/>
      <s:c r="U17" s="353"/>
      <s:c r="V17" s="353"/>
      <s:c r="W17" s="353"/>
      <s:c r="X17" s="361"/>
      <s:c r="Y17" s="361"/>
      <s:c r="Z17" s="353"/>
      <s:c r="AA17" s="353"/>
      <s:c r="AB17" s="353"/>
      <s:c r="AC17" s="353"/>
      <s:c r="AD17" s="353"/>
      <s:c r="AE17" s="353"/>
      <s:c r="AF17" s="353"/>
      <s:c r="AG17" s="353"/>
      <s:c r="AH17" s="353"/>
      <s:c r="AI17" s="353"/>
      <s:c r="AJ17" s="353"/>
      <s:c r="AK17" s="353"/>
      <s:c r="AL17" s="353"/>
      <s:c r="AM17" s="353"/>
      <s:c r="AN17" s="353"/>
      <s:c r="AO17" s="353"/>
      <s:c r="AP17" s="353"/>
      <s:c r="AQ17" s="353"/>
      <s:c r="AR17" s="353"/>
      <s:c r="AS17" s="353"/>
      <s:c r="AT17" s="353"/>
      <s:c r="AU17" s="353"/>
      <s:c r="AV17" s="353"/>
      <s:c r="AW17" s="353"/>
      <s:c r="AX17" s="353"/>
      <s:c r="AY17" s="353"/>
      <s:c r="AZ17" s="353"/>
      <s:c r="BA17" s="353"/>
      <s:c r="BB17" s="353"/>
      <s:c r="BC17" s="353"/>
      <s:c r="BD17" s="353"/>
      <s:c r="BE17" s="353"/>
      <s:c r="BF17" s="353"/>
      <s:c r="BG17" s="353"/>
      <s:c r="BH17" s="353"/>
      <s:c r="BI17" s="353"/>
      <s:c r="BJ17" s="353"/>
      <s:c r="BK17" s="353"/>
      <s:c r="BL17" s="353"/>
      <s:c r="BM17" s="353"/>
      <s:c r="BN17" s="354"/>
    </s:row>
    <s:row r="18">
      <s:c r="B18" s="372"/>
      <s:c r="C18" s="376"/>
      <s:c r="D18" s="369"/>
      <s:c r="E18" s="370"/>
      <s:c r="F18" s="371"/>
      <s:c r="G18" s="373"/>
      <s:c r="H18" s="373"/>
      <s:c r="I18" s="371"/>
      <s:c r="J18" s="371"/>
      <s:c r="K18" s="371"/>
      <s:c r="L18" s="371"/>
      <s:c r="M18" s="371"/>
      <s:c r="N18" s="371"/>
      <s:c r="O18" s="373"/>
      <s:c r="P18" s="371"/>
      <s:c r="Q18" s="331">
        <s:f>MAX(G18:P18)/5</s:f>
        <s:v>0</s:v>
      </s:c>
      <s:c r="R18" s="331">
        <s:f>MAX(G18:Q18)/5</s:f>
        <s:v>0</s:v>
      </s:c>
      <s:c r="S18" s="353"/>
      <s:c r="T18" s="353"/>
      <s:c r="U18" s="353"/>
      <s:c r="V18" s="353"/>
      <s:c r="W18" s="353"/>
      <s:c r="X18" s="353"/>
      <s:c r="Y18" s="361"/>
      <s:c r="Z18" s="353"/>
      <s:c r="AA18" s="353"/>
      <s:c r="AB18" s="353"/>
      <s:c r="AC18" s="353"/>
      <s:c r="AD18" s="353"/>
      <s:c r="AE18" s="353"/>
      <s:c r="AF18" s="353"/>
      <s:c r="AG18" s="353"/>
      <s:c r="AH18" s="353"/>
      <s:c r="AI18" s="353"/>
      <s:c r="AJ18" s="353"/>
      <s:c r="AK18" s="353"/>
      <s:c r="AL18" s="353"/>
      <s:c r="AM18" s="353"/>
      <s:c r="AN18" s="353"/>
      <s:c r="AO18" s="353"/>
      <s:c r="AP18" s="353"/>
      <s:c r="AQ18" s="353"/>
      <s:c r="AR18" s="353"/>
      <s:c r="AS18" s="353"/>
      <s:c r="AT18" s="353"/>
      <s:c r="AU18" s="353"/>
      <s:c r="AV18" s="353"/>
      <s:c r="AW18" s="353"/>
      <s:c r="AX18" s="353"/>
      <s:c r="AY18" s="353"/>
      <s:c r="AZ18" s="353"/>
      <s:c r="BA18" s="353"/>
      <s:c r="BB18" s="353"/>
      <s:c r="BC18" s="353"/>
      <s:c r="BD18" s="353"/>
      <s:c r="BE18" s="353"/>
      <s:c r="BF18" s="353"/>
      <s:c r="BG18" s="353"/>
      <s:c r="BH18" s="353"/>
      <s:c r="BI18" s="353"/>
      <s:c r="BJ18" s="353"/>
      <s:c r="BK18" s="353"/>
      <s:c r="BL18" s="353"/>
      <s:c r="BM18" s="353"/>
      <s:c r="BN18" s="354"/>
    </s:row>
    <s:row r="19">
      <s:c r="B19" s="372"/>
      <s:c r="C19" s="376"/>
      <s:c r="D19" s="369"/>
      <s:c r="E19" s="370"/>
      <s:c r="F19" s="371"/>
      <s:c r="G19" s="373"/>
      <s:c r="H19" s="373"/>
      <s:c r="I19" s="371"/>
      <s:c r="J19" s="371"/>
      <s:c r="K19" s="371"/>
      <s:c r="L19" s="371"/>
      <s:c r="M19" s="371"/>
      <s:c r="N19" s="371"/>
      <s:c r="O19" s="373"/>
      <s:c r="P19" s="371"/>
      <s:c r="Q19" s="331">
        <s:f>MAX(G19:P19)/5</s:f>
        <s:v>0</s:v>
      </s:c>
      <s:c r="R19" s="331">
        <s:f>MAX(G19:Q19)/5</s:f>
        <s:v>0</s:v>
      </s:c>
      <s:c r="S19" s="353"/>
      <s:c r="T19" s="353"/>
      <s:c r="U19" s="353"/>
      <s:c r="V19" s="353"/>
      <s:c r="W19" s="353"/>
      <s:c r="X19" s="361"/>
      <s:c r="Y19" s="361"/>
      <s:c r="Z19" s="361"/>
      <s:c r="AA19" s="361"/>
      <s:c r="AB19" s="353"/>
      <s:c r="AC19" s="353"/>
      <s:c r="AD19" s="353"/>
      <s:c r="AE19" s="353"/>
      <s:c r="AF19" s="353"/>
      <s:c r="AG19" s="353"/>
      <s:c r="AH19" s="353"/>
      <s:c r="AI19" s="353"/>
      <s:c r="AJ19" s="353"/>
      <s:c r="AK19" s="353"/>
      <s:c r="AL19" s="353"/>
      <s:c r="AM19" s="353"/>
      <s:c r="AN19" s="353"/>
      <s:c r="AO19" s="353"/>
      <s:c r="AP19" s="353"/>
      <s:c r="AQ19" s="353"/>
      <s:c r="AR19" s="353"/>
      <s:c r="AS19" s="353"/>
      <s:c r="AT19" s="353"/>
      <s:c r="AU19" s="353"/>
      <s:c r="AV19" s="353"/>
      <s:c r="AW19" s="353"/>
      <s:c r="AX19" s="353"/>
      <s:c r="AY19" s="353"/>
      <s:c r="AZ19" s="353"/>
      <s:c r="BA19" s="353"/>
      <s:c r="BB19" s="353"/>
      <s:c r="BC19" s="353"/>
      <s:c r="BD19" s="353"/>
      <s:c r="BE19" s="353"/>
      <s:c r="BF19" s="353"/>
      <s:c r="BG19" s="353"/>
      <s:c r="BH19" s="353"/>
      <s:c r="BI19" s="353"/>
      <s:c r="BJ19" s="353"/>
      <s:c r="BK19" s="353"/>
      <s:c r="BL19" s="353"/>
      <s:c r="BM19" s="353"/>
      <s:c r="BN19" s="354"/>
    </s:row>
    <s:row r="20">
      <s:c r="B20" s="372"/>
      <s:c r="C20" s="376"/>
      <s:c r="D20" s="369"/>
      <s:c r="E20" s="370"/>
      <s:c r="F20" s="371"/>
      <s:c r="G20" s="373"/>
      <s:c r="H20" s="373"/>
      <s:c r="I20" s="371"/>
      <s:c r="J20" s="371"/>
      <s:c r="K20" s="371"/>
      <s:c r="L20" s="371"/>
      <s:c r="M20" s="371"/>
      <s:c r="N20" s="371"/>
      <s:c r="O20" s="373"/>
      <s:c r="P20" s="371"/>
      <s:c r="Q20" s="331">
        <s:f>MAX(G20:P20)/5</s:f>
        <s:v>0</s:v>
      </s:c>
      <s:c r="R20" s="331">
        <s:f>MAX(G20:Q20)/5</s:f>
        <s:v>0</s:v>
      </s:c>
      <s:c r="S20" s="353"/>
      <s:c r="T20" s="353"/>
      <s:c r="U20" s="353"/>
      <s:c r="V20" s="353"/>
      <s:c r="W20" s="353"/>
      <s:c r="X20" s="353"/>
      <s:c r="Y20" s="353"/>
      <s:c r="Z20" s="361"/>
      <s:c r="AA20" s="361"/>
      <s:c r="AB20" s="361"/>
      <s:c r="AC20" s="361"/>
      <s:c r="AD20" s="353"/>
      <s:c r="AE20" s="353"/>
      <s:c r="AF20" s="353"/>
      <s:c r="AG20" s="353"/>
      <s:c r="AH20" s="353"/>
      <s:c r="AI20" s="353"/>
      <s:c r="AJ20" s="353"/>
      <s:c r="AK20" s="353"/>
      <s:c r="AL20" s="353"/>
      <s:c r="AM20" s="353"/>
      <s:c r="AN20" s="353"/>
      <s:c r="AO20" s="353"/>
      <s:c r="AP20" s="353"/>
      <s:c r="AQ20" s="353"/>
      <s:c r="AR20" s="353"/>
      <s:c r="AS20" s="353"/>
      <s:c r="AT20" s="353"/>
      <s:c r="AU20" s="353"/>
      <s:c r="AV20" s="353"/>
      <s:c r="AW20" s="353"/>
      <s:c r="AX20" s="353"/>
      <s:c r="AY20" s="353"/>
      <s:c r="AZ20" s="353"/>
      <s:c r="BA20" s="353"/>
      <s:c r="BB20" s="353"/>
      <s:c r="BC20" s="353"/>
      <s:c r="BD20" s="353"/>
      <s:c r="BE20" s="353"/>
      <s:c r="BF20" s="353"/>
      <s:c r="BG20" s="353"/>
      <s:c r="BH20" s="353"/>
      <s:c r="BI20" s="353"/>
      <s:c r="BJ20" s="353"/>
      <s:c r="BK20" s="353"/>
      <s:c r="BL20" s="353"/>
      <s:c r="BM20" s="353"/>
      <s:c r="BN20" s="354"/>
    </s:row>
    <s:row r="21">
      <s:c r="B21" s="374">
        <s:v>3</s:v>
      </s:c>
      <s:c r="C21" s="360" t="s">
        <s:v>197</s:v>
      </s:c>
      <s:c r="D21" s="377">
        <s:f>E21*0.4</s:f>
        <s:v>0</s:v>
      </s:c>
      <s:c r="E21" s="375">
        <s:f>SUM(E22:E29)</s:f>
        <s:v>0</s:v>
      </s:c>
      <s:c r="F21" s="375">
        <s:f>SUM(F22:F29)</s:f>
        <s:v>0</s:v>
      </s:c>
      <s:c r="G21" s="375">
        <s:f>SUM(G22:G29)</s:f>
        <s:v>0</s:v>
      </s:c>
      <s:c r="H21" s="375">
        <s:f>SUM(H22:H29)</s:f>
        <s:v>0</s:v>
      </s:c>
      <s:c r="I21" s="375">
        <s:f>SUM(I22:I29)</s:f>
        <s:v>0</s:v>
      </s:c>
      <s:c r="J21" s="375">
        <s:f>SUM(J22:J29)</s:f>
        <s:v>0</s:v>
      </s:c>
      <s:c r="K21" s="375">
        <s:f>SUM(K22:K29)</s:f>
        <s:v>0</s:v>
      </s:c>
      <s:c r="L21" s="375">
        <s:f>SUM(L22:L29)</s:f>
        <s:v>0</s:v>
      </s:c>
      <s:c r="M21" s="375">
        <s:f>SUM(M22:M29)</s:f>
        <s:v>0</s:v>
      </s:c>
      <s:c r="N21" s="375">
        <s:f>SUM(N22:N29)</s:f>
        <s:v>0</s:v>
      </s:c>
      <s:c r="O21" s="375">
        <s:f>SUM(O22:O29)</s:f>
        <s:v>0</s:v>
      </s:c>
      <s:c r="P21" s="375">
        <s:f>SUM(P22:P29)</s:f>
        <s:v>0</s:v>
      </s:c>
      <s:c r="Q21" s="331">
        <s:f>MAX(G21:P21)/5</s:f>
        <s:v>0</s:v>
      </s:c>
      <s:c r="R21" s="331">
        <s:f>MAX(G21:Q21)/5</s:f>
        <s:v>0</s:v>
      </s:c>
      <s:c r="S21" s="366"/>
      <s:c r="T21" s="366"/>
      <s:c r="U21" s="366"/>
      <s:c r="V21" s="366"/>
      <s:c r="W21" s="366"/>
      <s:c r="X21" s="366"/>
      <s:c r="Y21" s="366"/>
      <s:c r="Z21" s="366"/>
      <s:c r="AA21" s="366"/>
      <s:c r="AB21" s="366"/>
      <s:c r="AC21" s="365">
        <s:v>1</s:v>
      </s:c>
      <s:c r="AD21" s="365">
        <s:v>1</s:v>
      </s:c>
      <s:c r="AE21" s="365">
        <s:v>1</s:v>
      </s:c>
      <s:c r="AF21" s="365">
        <s:v>1</s:v>
      </s:c>
      <s:c r="AG21" s="365">
        <s:v>1</s:v>
      </s:c>
      <s:c r="AH21" s="365">
        <s:v>1</s:v>
      </s:c>
      <s:c r="AI21" s="365">
        <s:v>1</s:v>
      </s:c>
      <s:c r="AJ21" s="365">
        <s:v>1</s:v>
      </s:c>
      <s:c r="AK21" s="365">
        <s:v>1</s:v>
      </s:c>
      <s:c r="AL21" s="365">
        <s:v>1</s:v>
      </s:c>
      <s:c r="AM21" s="366"/>
      <s:c r="AN21" s="366"/>
      <s:c r="AO21" s="366"/>
      <s:c r="AP21" s="366"/>
      <s:c r="AQ21" s="366"/>
      <s:c r="AR21" s="366"/>
      <s:c r="AS21" s="366"/>
      <s:c r="AT21" s="366"/>
      <s:c r="AU21" s="366"/>
      <s:c r="AV21" s="366"/>
      <s:c r="AW21" s="366"/>
      <s:c r="AX21" s="366"/>
      <s:c r="AY21" s="366"/>
      <s:c r="AZ21" s="366"/>
      <s:c r="BA21" s="366"/>
      <s:c r="BB21" s="366"/>
      <s:c r="BC21" s="366"/>
      <s:c r="BD21" s="366"/>
      <s:c r="BE21" s="366"/>
      <s:c r="BF21" s="366"/>
      <s:c r="BG21" s="366"/>
      <s:c r="BH21" s="366"/>
      <s:c r="BI21" s="366"/>
      <s:c r="BJ21" s="366"/>
      <s:c r="BK21" s="366"/>
      <s:c r="BL21" s="366"/>
      <s:c r="BM21" s="366"/>
      <s:c r="BN21" s="367"/>
    </s:row>
    <s:row r="22">
      <s:c r="B22" s="372"/>
      <s:c r="C22" s="376"/>
      <s:c r="D22" s="369"/>
      <s:c r="E22" s="370"/>
      <s:c r="F22" s="371"/>
      <s:c r="G22" s="373"/>
      <s:c r="H22" s="373"/>
      <s:c r="I22" s="371"/>
      <s:c r="J22" s="371"/>
      <s:c r="K22" s="371"/>
      <s:c r="L22" s="371"/>
      <s:c r="M22" s="371"/>
      <s:c r="N22" s="371"/>
      <s:c r="O22" s="373"/>
      <s:c r="P22" s="371"/>
      <s:c r="Q22" s="331">
        <s:f>MAX(G22:P22)/5</s:f>
        <s:v>0</s:v>
      </s:c>
      <s:c r="R22" s="331">
        <s:f>MAX(G22:Q22)/5</s:f>
        <s:v>0</s:v>
      </s:c>
      <s:c r="S22" s="353"/>
      <s:c r="T22" s="353"/>
      <s:c r="U22" s="353"/>
      <s:c r="V22" s="353"/>
      <s:c r="W22" s="353"/>
      <s:c r="X22" s="353"/>
      <s:c r="Y22" s="353"/>
      <s:c r="Z22" s="353"/>
      <s:c r="AA22" s="353"/>
      <s:c r="AB22" s="353"/>
      <s:c r="AC22" s="361"/>
      <s:c r="AD22" s="361"/>
      <s:c r="AE22" s="361"/>
      <s:c r="AF22" s="361"/>
      <s:c r="AG22" s="353"/>
      <s:c r="AH22" s="353"/>
      <s:c r="AI22" s="353"/>
      <s:c r="AJ22" s="353"/>
      <s:c r="AK22" s="353"/>
      <s:c r="AL22" s="353"/>
      <s:c r="AM22" s="353"/>
      <s:c r="AN22" s="353"/>
      <s:c r="AO22" s="353"/>
      <s:c r="AP22" s="353"/>
      <s:c r="AQ22" s="353"/>
      <s:c r="AR22" s="353"/>
      <s:c r="AS22" s="353"/>
      <s:c r="AT22" s="353"/>
      <s:c r="AU22" s="353"/>
      <s:c r="AV22" s="353"/>
      <s:c r="AW22" s="353"/>
      <s:c r="AX22" s="353"/>
      <s:c r="AY22" s="353"/>
      <s:c r="AZ22" s="353"/>
      <s:c r="BA22" s="353"/>
      <s:c r="BB22" s="353"/>
      <s:c r="BC22" s="353"/>
      <s:c r="BD22" s="353"/>
      <s:c r="BE22" s="353"/>
      <s:c r="BF22" s="353"/>
      <s:c r="BG22" s="353"/>
      <s:c r="BH22" s="353"/>
      <s:c r="BI22" s="353"/>
      <s:c r="BJ22" s="353"/>
      <s:c r="BK22" s="353"/>
      <s:c r="BL22" s="353"/>
      <s:c r="BM22" s="353"/>
      <s:c r="BN22" s="354"/>
    </s:row>
    <s:row r="23" spans="2:66" ht="69" customHeight="1" outlineLevel="1">
      <s:c r="B23" s="372"/>
      <s:c r="C23" s="376"/>
      <s:c r="D23" s="369"/>
      <s:c r="E23" s="370"/>
      <s:c r="F23" s="371"/>
      <s:c r="G23" s="373"/>
      <s:c r="H23" s="373"/>
      <s:c r="I23" s="371"/>
      <s:c r="J23" s="371"/>
      <s:c r="K23" s="371"/>
      <s:c r="L23" s="371"/>
      <s:c r="M23" s="371"/>
      <s:c r="N23" s="371"/>
      <s:c r="O23" s="373"/>
      <s:c r="P23" s="371"/>
      <s:c r="Q23" s="331">
        <s:f>MAX(G23:P23)/5</s:f>
        <s:v>0</s:v>
      </s:c>
      <s:c r="R23" s="331">
        <s:f>MAX(G23:Q23)/5</s:f>
        <s:v>0</s:v>
      </s:c>
      <s:c r="S23" s="353"/>
      <s:c r="T23" s="353"/>
      <s:c r="U23" s="353"/>
      <s:c r="V23" s="353"/>
      <s:c r="W23" s="353"/>
      <s:c r="X23" s="353"/>
      <s:c r="Y23" s="353"/>
      <s:c r="Z23" s="353"/>
      <s:c r="AA23" s="353"/>
      <s:c r="AB23" s="353"/>
      <s:c r="AC23" s="361"/>
      <s:c r="AD23" s="361"/>
      <s:c r="AE23" s="361"/>
      <s:c r="AF23" s="361"/>
      <s:c r="AG23" s="353"/>
      <s:c r="AH23" s="353"/>
      <s:c r="AI23" s="353"/>
      <s:c r="AJ23" s="353"/>
      <s:c r="AK23" s="353"/>
      <s:c r="AL23" s="353"/>
      <s:c r="AM23" s="353"/>
      <s:c r="AN23" s="353"/>
      <s:c r="AO23" s="353"/>
      <s:c r="AP23" s="353"/>
      <s:c r="AQ23" s="353"/>
      <s:c r="AR23" s="353"/>
      <s:c r="AS23" s="353"/>
      <s:c r="AT23" s="353"/>
      <s:c r="AU23" s="353"/>
      <s:c r="AV23" s="353"/>
      <s:c r="AW23" s="353"/>
      <s:c r="AX23" s="353"/>
      <s:c r="AY23" s="353"/>
      <s:c r="AZ23" s="353"/>
      <s:c r="BA23" s="353"/>
      <s:c r="BB23" s="353"/>
      <s:c r="BC23" s="353"/>
      <s:c r="BD23" s="353"/>
      <s:c r="BE23" s="353"/>
      <s:c r="BF23" s="353"/>
      <s:c r="BG23" s="353"/>
      <s:c r="BH23" s="353"/>
      <s:c r="BI23" s="353"/>
      <s:c r="BJ23" s="353"/>
      <s:c r="BK23" s="353"/>
      <s:c r="BL23" s="353"/>
      <s:c r="BM23" s="353"/>
      <s:c r="BN23" s="354"/>
    </s:row>
    <s:row r="24">
      <s:c r="B24" s="372"/>
      <s:c r="C24" s="376"/>
      <s:c r="D24" s="369"/>
      <s:c r="E24" s="370"/>
      <s:c r="F24" s="371"/>
      <s:c r="G24" s="373"/>
      <s:c r="H24" s="373"/>
      <s:c r="I24" s="371"/>
      <s:c r="J24" s="371"/>
      <s:c r="K24" s="371"/>
      <s:c r="L24" s="371"/>
      <s:c r="M24" s="371"/>
      <s:c r="N24" s="371"/>
      <s:c r="O24" s="373"/>
      <s:c r="P24" s="371"/>
      <s:c r="Q24" s="331">
        <s:f>MAX(G24:P24)/5</s:f>
        <s:v>0</s:v>
      </s:c>
      <s:c r="R24" s="331">
        <s:f>MAX(G24:Q24)/5</s:f>
        <s:v>0</s:v>
      </s:c>
      <s:c r="S24" s="353"/>
      <s:c r="T24" s="353"/>
      <s:c r="U24" s="353"/>
      <s:c r="V24" s="353"/>
      <s:c r="W24" s="353"/>
      <s:c r="X24" s="353"/>
      <s:c r="Y24" s="353"/>
      <s:c r="Z24" s="353"/>
      <s:c r="AA24" s="353"/>
      <s:c r="AB24" s="353"/>
      <s:c r="AC24" s="361"/>
      <s:c r="AD24" s="361"/>
      <s:c r="AE24" s="361"/>
      <s:c r="AF24" s="361"/>
      <s:c r="AG24" s="353"/>
      <s:c r="AH24" s="353"/>
      <s:c r="AI24" s="353"/>
      <s:c r="AJ24" s="353"/>
      <s:c r="AK24" s="353"/>
      <s:c r="AL24" s="353"/>
      <s:c r="AM24" s="353"/>
      <s:c r="AN24" s="353"/>
      <s:c r="AO24" s="353"/>
      <s:c r="AP24" s="353"/>
      <s:c r="AQ24" s="353"/>
      <s:c r="AR24" s="353"/>
      <s:c r="AS24" s="353"/>
      <s:c r="AT24" s="353"/>
      <s:c r="AU24" s="353"/>
      <s:c r="AV24" s="353"/>
      <s:c r="AW24" s="353"/>
      <s:c r="AX24" s="353"/>
      <s:c r="AY24" s="353"/>
      <s:c r="AZ24" s="353"/>
      <s:c r="BA24" s="353"/>
      <s:c r="BB24" s="353"/>
      <s:c r="BC24" s="353"/>
      <s:c r="BD24" s="353"/>
      <s:c r="BE24" s="353"/>
      <s:c r="BF24" s="353"/>
      <s:c r="BG24" s="353"/>
      <s:c r="BH24" s="353"/>
      <s:c r="BI24" s="353"/>
      <s:c r="BJ24" s="353"/>
      <s:c r="BK24" s="353"/>
      <s:c r="BL24" s="353"/>
      <s:c r="BM24" s="353"/>
      <s:c r="BN24" s="354"/>
    </s:row>
    <s:row r="25" spans="2:66" ht="24.45" customHeight="1" outlineLevel="1">
      <s:c r="B25" s="372"/>
      <s:c r="C25" s="376"/>
      <s:c r="D25" s="369"/>
      <s:c r="E25" s="370"/>
      <s:c r="F25" s="371"/>
      <s:c r="G25" s="373"/>
      <s:c r="H25" s="373"/>
      <s:c r="I25" s="371"/>
      <s:c r="J25" s="371"/>
      <s:c r="K25" s="371"/>
      <s:c r="L25" s="371"/>
      <s:c r="M25" s="371"/>
      <s:c r="N25" s="371"/>
      <s:c r="O25" s="373"/>
      <s:c r="P25" s="371"/>
      <s:c r="Q25" s="331">
        <s:f>MAX(G25:P25)/5</s:f>
        <s:v>0</s:v>
      </s:c>
      <s:c r="R25" s="331">
        <s:f>MAX(G25:Q25)/5</s:f>
        <s:v>0</s:v>
      </s:c>
      <s:c r="S25" s="353"/>
      <s:c r="T25" s="353"/>
      <s:c r="U25" s="353"/>
      <s:c r="V25" s="353"/>
      <s:c r="W25" s="353"/>
      <s:c r="X25" s="353"/>
      <s:c r="Y25" s="353"/>
      <s:c r="Z25" s="353"/>
      <s:c r="AA25" s="353"/>
      <s:c r="AB25" s="353"/>
      <s:c r="AC25" s="361"/>
      <s:c r="AD25" s="361"/>
      <s:c r="AE25" s="361"/>
      <s:c r="AF25" s="361"/>
      <s:c r="AG25" s="353"/>
      <s:c r="AH25" s="353"/>
      <s:c r="AI25" s="353"/>
      <s:c r="AJ25" s="353"/>
      <s:c r="AK25" s="353"/>
      <s:c r="AL25" s="353"/>
      <s:c r="AM25" s="353"/>
      <s:c r="AN25" s="353"/>
      <s:c r="AO25" s="353"/>
      <s:c r="AP25" s="353"/>
      <s:c r="AQ25" s="353"/>
      <s:c r="AR25" s="353"/>
      <s:c r="AS25" s="353"/>
      <s:c r="AT25" s="353"/>
      <s:c r="AU25" s="353"/>
      <s:c r="AV25" s="353"/>
      <s:c r="AW25" s="353"/>
      <s:c r="AX25" s="353"/>
      <s:c r="AY25" s="353"/>
      <s:c r="AZ25" s="353"/>
      <s:c r="BA25" s="353"/>
      <s:c r="BB25" s="353"/>
      <s:c r="BC25" s="353"/>
      <s:c r="BD25" s="353"/>
      <s:c r="BE25" s="353"/>
      <s:c r="BF25" s="353"/>
      <s:c r="BG25" s="353"/>
      <s:c r="BH25" s="353"/>
      <s:c r="BI25" s="353"/>
      <s:c r="BJ25" s="353"/>
      <s:c r="BK25" s="353"/>
      <s:c r="BL25" s="353"/>
      <s:c r="BM25" s="353"/>
      <s:c r="BN25" s="354"/>
    </s:row>
    <s:row r="26">
      <s:c r="B26" s="372"/>
      <s:c r="C26" s="376"/>
      <s:c r="D26" s="369"/>
      <s:c r="E26" s="370"/>
      <s:c r="F26" s="371"/>
      <s:c r="G26" s="373"/>
      <s:c r="H26" s="373"/>
      <s:c r="I26" s="373"/>
      <s:c r="J26" s="373"/>
      <s:c r="K26" s="373"/>
      <s:c r="L26" s="373"/>
      <s:c r="M26" s="371"/>
      <s:c r="N26" s="371"/>
      <s:c r="O26" s="373"/>
      <s:c r="P26" s="371"/>
      <s:c r="Q26" s="331">
        <s:f>MAX(G26:P26)/5</s:f>
        <s:v>0</s:v>
      </s:c>
      <s:c r="R26" s="331">
        <s:f>MAX(G26:Q26)/5</s:f>
        <s:v>0</s:v>
      </s:c>
      <s:c r="S26" s="353"/>
      <s:c r="T26" s="353"/>
      <s:c r="U26" s="353"/>
      <s:c r="V26" s="353"/>
      <s:c r="W26" s="353"/>
      <s:c r="X26" s="353"/>
      <s:c r="Y26" s="353"/>
      <s:c r="Z26" s="353"/>
      <s:c r="AA26" s="353"/>
      <s:c r="AB26" s="353"/>
      <s:c r="AC26" s="353"/>
      <s:c r="AD26" s="361"/>
      <s:c r="AE26" s="361"/>
      <s:c r="AF26" s="353"/>
      <s:c r="AG26" s="353"/>
      <s:c r="AH26" s="353"/>
      <s:c r="AI26" s="353"/>
      <s:c r="AJ26" s="353"/>
      <s:c r="AK26" s="353"/>
      <s:c r="AL26" s="353"/>
      <s:c r="AM26" s="353"/>
      <s:c r="AN26" s="353"/>
      <s:c r="AO26" s="353"/>
      <s:c r="AP26" s="353"/>
      <s:c r="AQ26" s="353"/>
      <s:c r="AR26" s="353"/>
      <s:c r="AS26" s="353"/>
      <s:c r="AT26" s="353"/>
      <s:c r="AU26" s="353"/>
      <s:c r="AV26" s="353"/>
      <s:c r="AW26" s="353"/>
      <s:c r="AX26" s="353"/>
      <s:c r="AY26" s="353"/>
      <s:c r="AZ26" s="353"/>
      <s:c r="BA26" s="353"/>
      <s:c r="BB26" s="353"/>
      <s:c r="BC26" s="353"/>
      <s:c r="BD26" s="353"/>
      <s:c r="BE26" s="353"/>
      <s:c r="BF26" s="353"/>
      <s:c r="BG26" s="353"/>
      <s:c r="BH26" s="353"/>
      <s:c r="BI26" s="353"/>
      <s:c r="BJ26" s="353"/>
      <s:c r="BK26" s="353"/>
      <s:c r="BL26" s="353"/>
      <s:c r="BM26" s="353"/>
      <s:c r="BN26" s="354"/>
    </s:row>
    <s:row r="27">
      <s:c r="B27" s="372"/>
      <s:c r="C27" s="376"/>
      <s:c r="D27" s="369"/>
      <s:c r="E27" s="370"/>
      <s:c r="F27" s="371"/>
      <s:c r="G27" s="373"/>
      <s:c r="H27" s="373"/>
      <s:c r="I27" s="373"/>
      <s:c r="J27" s="373"/>
      <s:c r="K27" s="373"/>
      <s:c r="L27" s="373"/>
      <s:c r="M27" s="371"/>
      <s:c r="N27" s="371"/>
      <s:c r="O27" s="373"/>
      <s:c r="P27" s="371"/>
      <s:c r="Q27" s="331">
        <s:f>MAX(G27:P27)/5</s:f>
        <s:v>0</s:v>
      </s:c>
      <s:c r="R27" s="331">
        <s:f>MAX(G27:Q27)/5</s:f>
        <s:v>0</s:v>
      </s:c>
      <s:c r="S27" s="353"/>
      <s:c r="T27" s="353"/>
      <s:c r="U27" s="353"/>
      <s:c r="V27" s="353"/>
      <s:c r="W27" s="353"/>
      <s:c r="X27" s="353"/>
      <s:c r="Y27" s="353"/>
      <s:c r="Z27" s="353"/>
      <s:c r="AA27" s="353"/>
      <s:c r="AB27" s="353"/>
      <s:c r="AC27" s="353"/>
      <s:c r="AD27" s="353"/>
      <s:c r="AE27" s="353"/>
      <s:c r="AF27" s="361"/>
      <s:c r="AG27" s="361"/>
      <s:c r="AH27" s="353"/>
      <s:c r="AI27" s="353"/>
      <s:c r="AJ27" s="353"/>
      <s:c r="AK27" s="353"/>
      <s:c r="AL27" s="353"/>
      <s:c r="AM27" s="353"/>
      <s:c r="AN27" s="353"/>
      <s:c r="AO27" s="353"/>
      <s:c r="AP27" s="353"/>
      <s:c r="AQ27" s="353"/>
      <s:c r="AR27" s="353"/>
      <s:c r="AS27" s="353"/>
      <s:c r="AT27" s="353"/>
      <s:c r="AU27" s="353"/>
      <s:c r="AV27" s="353"/>
      <s:c r="AW27" s="353"/>
      <s:c r="AX27" s="353"/>
      <s:c r="AY27" s="353"/>
      <s:c r="AZ27" s="353"/>
      <s:c r="BA27" s="353"/>
      <s:c r="BB27" s="353"/>
      <s:c r="BC27" s="353"/>
      <s:c r="BD27" s="353"/>
      <s:c r="BE27" s="353"/>
      <s:c r="BF27" s="353"/>
      <s:c r="BG27" s="353"/>
      <s:c r="BH27" s="353"/>
      <s:c r="BI27" s="353"/>
      <s:c r="BJ27" s="353"/>
      <s:c r="BK27" s="353"/>
      <s:c r="BL27" s="353"/>
      <s:c r="BM27" s="353"/>
      <s:c r="BN27" s="354"/>
    </s:row>
    <s:row r="28">
      <s:c r="B28" s="372"/>
      <s:c r="C28" s="376"/>
      <s:c r="D28" s="369"/>
      <s:c r="E28" s="370"/>
      <s:c r="F28" s="371"/>
      <s:c r="G28" s="373"/>
      <s:c r="H28" s="373"/>
      <s:c r="I28" s="371"/>
      <s:c r="J28" s="371"/>
      <s:c r="K28" s="371"/>
      <s:c r="L28" s="371"/>
      <s:c r="M28" s="371"/>
      <s:c r="N28" s="371"/>
      <s:c r="O28" s="373"/>
      <s:c r="P28" s="371"/>
      <s:c r="Q28" s="331">
        <s:f>MAX(G28:P28)/5</s:f>
        <s:v>0</s:v>
      </s:c>
      <s:c r="R28" s="331">
        <s:f>MAX(G28:Q28)/5</s:f>
        <s:v>0</s:v>
      </s:c>
      <s:c r="S28" s="353"/>
      <s:c r="T28" s="353"/>
      <s:c r="U28" s="353"/>
      <s:c r="V28" s="353"/>
      <s:c r="W28" s="353"/>
      <s:c r="X28" s="353"/>
      <s:c r="Y28" s="353"/>
      <s:c r="Z28" s="353"/>
      <s:c r="AA28" s="353"/>
      <s:c r="AB28" s="353"/>
      <s:c r="AC28" s="353"/>
      <s:c r="AD28" s="353"/>
      <s:c r="AE28" s="353"/>
      <s:c r="AF28" s="353"/>
      <s:c r="AG28" s="353"/>
      <s:c r="AH28" s="361"/>
      <s:c r="AI28" s="353"/>
      <s:c r="AJ28" s="353"/>
      <s:c r="AK28" s="353"/>
      <s:c r="AL28" s="353"/>
      <s:c r="AM28" s="353"/>
      <s:c r="AN28" s="353"/>
      <s:c r="AO28" s="353"/>
      <s:c r="AP28" s="353"/>
      <s:c r="AQ28" s="353"/>
      <s:c r="AR28" s="353"/>
      <s:c r="AS28" s="353"/>
      <s:c r="AT28" s="353"/>
      <s:c r="AU28" s="353"/>
      <s:c r="AV28" s="353"/>
      <s:c r="AW28" s="353"/>
      <s:c r="AX28" s="353"/>
      <s:c r="AY28" s="353"/>
      <s:c r="AZ28" s="353"/>
      <s:c r="BA28" s="353"/>
      <s:c r="BB28" s="353"/>
      <s:c r="BC28" s="353"/>
      <s:c r="BD28" s="353"/>
      <s:c r="BE28" s="353"/>
      <s:c r="BF28" s="353"/>
      <s:c r="BG28" s="353"/>
      <s:c r="BH28" s="353"/>
      <s:c r="BI28" s="353"/>
      <s:c r="BJ28" s="353"/>
      <s:c r="BK28" s="353"/>
      <s:c r="BL28" s="353"/>
      <s:c r="BM28" s="353"/>
      <s:c r="BN28" s="354"/>
    </s:row>
    <s:row r="29">
      <s:c r="B29" s="372"/>
      <s:c r="C29" s="376"/>
      <s:c r="D29" s="369"/>
      <s:c r="E29" s="370"/>
      <s:c r="F29" s="371"/>
      <s:c r="G29" s="373"/>
      <s:c r="H29" s="373"/>
      <s:c r="I29" s="371"/>
      <s:c r="J29" s="371"/>
      <s:c r="K29" s="371"/>
      <s:c r="L29" s="371"/>
      <s:c r="M29" s="371"/>
      <s:c r="N29" s="371"/>
      <s:c r="O29" s="373"/>
      <s:c r="P29" s="371"/>
      <s:c r="Q29" s="331">
        <s:f>MAX(G29:P29)/5</s:f>
        <s:v>0</s:v>
      </s:c>
      <s:c r="R29" s="331">
        <s:f>MAX(G29:Q29)/5</s:f>
        <s:v>0</s:v>
      </s:c>
      <s:c r="S29" s="353"/>
      <s:c r="T29" s="353"/>
      <s:c r="U29" s="353"/>
      <s:c r="V29" s="353"/>
      <s:c r="W29" s="353"/>
      <s:c r="X29" s="353"/>
      <s:c r="Y29" s="353"/>
      <s:c r="Z29" s="353"/>
      <s:c r="AA29" s="353"/>
      <s:c r="AB29" s="353"/>
      <s:c r="AC29" s="353"/>
      <s:c r="AD29" s="353"/>
      <s:c r="AE29" s="353"/>
      <s:c r="AF29" s="353"/>
      <s:c r="AG29" s="353"/>
      <s:c r="AH29" s="353"/>
      <s:c r="AI29" s="361"/>
      <s:c r="AJ29" s="361"/>
      <s:c r="AK29" s="361"/>
      <s:c r="AL29" s="361"/>
      <s:c r="AM29" s="353"/>
      <s:c r="AN29" s="353"/>
      <s:c r="AO29" s="353"/>
      <s:c r="AP29" s="353"/>
      <s:c r="AQ29" s="353"/>
      <s:c r="AR29" s="353"/>
      <s:c r="AS29" s="353"/>
      <s:c r="AT29" s="353"/>
      <s:c r="AU29" s="353"/>
      <s:c r="AV29" s="353"/>
      <s:c r="AW29" s="353"/>
      <s:c r="AX29" s="353"/>
      <s:c r="AY29" s="353"/>
      <s:c r="AZ29" s="353"/>
      <s:c r="BA29" s="353"/>
      <s:c r="BB29" s="353"/>
      <s:c r="BC29" s="353"/>
      <s:c r="BD29" s="353"/>
      <s:c r="BE29" s="353"/>
      <s:c r="BF29" s="353"/>
      <s:c r="BG29" s="353"/>
      <s:c r="BH29" s="353"/>
      <s:c r="BI29" s="353"/>
      <s:c r="BJ29" s="353"/>
      <s:c r="BK29" s="353"/>
      <s:c r="BL29" s="353"/>
      <s:c r="BM29" s="353"/>
      <s:c r="BN29" s="354"/>
    </s:row>
    <s:row r="30">
      <s:c r="B30" s="374">
        <s:v>4</s:v>
      </s:c>
      <s:c r="C30" s="360" t="s">
        <s:v>198</s:v>
      </s:c>
      <s:c r="D30" s="360"/>
      <s:c r="E30" s="364">
        <s:f>SUM(E31:E34)</s:f>
        <s:v>0</s:v>
      </s:c>
      <s:c r="F30" s="375">
        <s:f>SUM(F31:F34)</s:f>
        <s:v>0</s:v>
      </s:c>
      <s:c r="G30" s="375">
        <s:f>SUM(G31:G34)</s:f>
        <s:v>0</s:v>
      </s:c>
      <s:c r="H30" s="375">
        <s:f>SUM(H31:H34)</s:f>
        <s:v>0</s:v>
      </s:c>
      <s:c r="I30" s="375">
        <s:f>SUM(I31:I34)</s:f>
        <s:v>0</s:v>
      </s:c>
      <s:c r="J30" s="375">
        <s:f>SUM(J31:J34)</s:f>
        <s:v>0</s:v>
      </s:c>
      <s:c r="K30" s="375">
        <s:f>SUM(K31:K34)</s:f>
        <s:v>0</s:v>
      </s:c>
      <s:c r="L30" s="375">
        <s:f>SUM(L31:L34)</s:f>
        <s:v>0</s:v>
      </s:c>
      <s:c r="M30" s="375">
        <s:f>SUM(M31:M34)</s:f>
        <s:v>0</s:v>
      </s:c>
      <s:c r="N30" s="375">
        <s:f>SUM(N31:N34)</s:f>
        <s:v>0</s:v>
      </s:c>
      <s:c r="O30" s="375">
        <s:f>SUM(O31:O34)</s:f>
        <s:v>0</s:v>
      </s:c>
      <s:c r="P30" s="375">
        <s:f>SUM(P31:P34)</s:f>
        <s:v>0</s:v>
      </s:c>
      <s:c r="Q30" s="331">
        <s:f>MAX(G30:P30)/5</s:f>
        <s:v>0</s:v>
      </s:c>
      <s:c r="R30" s="331">
        <s:f>MAX(G30:Q30)/5</s:f>
        <s:v>0</s:v>
      </s:c>
      <s:c r="S30" s="366"/>
      <s:c r="T30" s="366"/>
      <s:c r="U30" s="366"/>
      <s:c r="V30" s="366"/>
      <s:c r="W30" s="366"/>
      <s:c r="X30" s="366"/>
      <s:c r="Y30" s="366"/>
      <s:c r="Z30" s="366"/>
      <s:c r="AA30" s="366"/>
      <s:c r="AB30" s="366"/>
      <s:c r="AC30" s="366"/>
      <s:c r="AD30" s="366"/>
      <s:c r="AE30" s="378"/>
      <s:c r="AF30" s="366"/>
      <s:c r="AG30" s="366"/>
      <s:c r="AH30" s="366"/>
      <s:c r="AI30" s="366"/>
      <s:c r="AJ30" s="366"/>
      <s:c r="AK30" s="366"/>
      <s:c r="AL30" s="366"/>
      <s:c r="AM30" s="365">
        <s:v>1</s:v>
      </s:c>
      <s:c r="AN30" s="365">
        <s:v>1</s:v>
      </s:c>
      <s:c r="AO30" s="365">
        <s:v>1</s:v>
      </s:c>
      <s:c r="AP30" s="366"/>
      <s:c r="AQ30" s="366"/>
      <s:c r="AR30" s="366"/>
      <s:c r="AS30" s="366"/>
      <s:c r="AT30" s="366"/>
      <s:c r="AU30" s="366"/>
      <s:c r="AV30" s="366"/>
      <s:c r="AW30" s="366"/>
      <s:c r="AX30" s="366"/>
      <s:c r="AY30" s="366"/>
      <s:c r="AZ30" s="366"/>
      <s:c r="BA30" s="366"/>
      <s:c r="BB30" s="366"/>
      <s:c r="BC30" s="366"/>
      <s:c r="BD30" s="366"/>
      <s:c r="BE30" s="366"/>
      <s:c r="BF30" s="366"/>
      <s:c r="BG30" s="366"/>
      <s:c r="BH30" s="366"/>
      <s:c r="BI30" s="366"/>
      <s:c r="BJ30" s="366"/>
      <s:c r="BK30" s="366"/>
      <s:c r="BL30" s="366"/>
      <s:c r="BM30" s="366"/>
      <s:c r="BN30" s="367"/>
    </s:row>
    <s:row r="31" spans="2:66" s="383" customFormat="1" ht="23.55" customHeight="1" outlineLevel="1">
      <s:c r="B31" s="372"/>
      <s:c r="C31" s="369"/>
      <s:c r="D31" s="379"/>
      <s:c r="E31" s="370"/>
      <s:c r="F31" s="371"/>
      <s:c r="G31" s="371"/>
      <s:c r="H31" s="371"/>
      <s:c r="I31" s="371"/>
      <s:c r="J31" s="371"/>
      <s:c r="K31" s="371"/>
      <s:c r="L31" s="371"/>
      <s:c r="M31" s="371"/>
      <s:c r="N31" s="371"/>
      <s:c r="O31" s="371"/>
      <s:c r="P31" s="371"/>
      <s:c r="Q31" s="331">
        <s:f>MAX(G31:P31)/5</s:f>
        <s:v>0</s:v>
      </s:c>
      <s:c r="R31" s="331">
        <s:f>MAX(G31:Q31)/5</s:f>
        <s:v>0</s:v>
      </s:c>
      <s:c r="S31" s="380"/>
      <s:c r="T31" s="380"/>
      <s:c r="U31" s="380"/>
      <s:c r="V31" s="380"/>
      <s:c r="W31" s="380"/>
      <s:c r="X31" s="380"/>
      <s:c r="Y31" s="380"/>
      <s:c r="Z31" s="380"/>
      <s:c r="AA31" s="380"/>
      <s:c r="AB31" s="380"/>
      <s:c r="AC31" s="380"/>
      <s:c r="AD31" s="380"/>
      <s:c r="AE31" s="381"/>
      <s:c r="AF31" s="380"/>
      <s:c r="AG31" s="380"/>
      <s:c r="AH31" s="380"/>
      <s:c r="AI31" s="380"/>
      <s:c r="AJ31" s="380"/>
      <s:c r="AK31" s="380"/>
      <s:c r="AL31" s="380"/>
      <s:c r="AM31" s="361"/>
      <s:c r="AN31" s="380"/>
      <s:c r="AO31" s="380"/>
      <s:c r="AP31" s="380"/>
      <s:c r="AQ31" s="380"/>
      <s:c r="AR31" s="380"/>
      <s:c r="AS31" s="380"/>
      <s:c r="AT31" s="380"/>
      <s:c r="AU31" s="380"/>
      <s:c r="AV31" s="380"/>
      <s:c r="AW31" s="380"/>
      <s:c r="AX31" s="380"/>
      <s:c r="AY31" s="380"/>
      <s:c r="AZ31" s="380"/>
      <s:c r="BA31" s="380"/>
      <s:c r="BB31" s="380"/>
      <s:c r="BC31" s="380"/>
      <s:c r="BD31" s="380"/>
      <s:c r="BE31" s="380"/>
      <s:c r="BF31" s="380"/>
      <s:c r="BG31" s="380"/>
      <s:c r="BH31" s="380"/>
      <s:c r="BI31" s="380"/>
      <s:c r="BJ31" s="380"/>
      <s:c r="BK31" s="380"/>
      <s:c r="BL31" s="380"/>
      <s:c r="BM31" s="380"/>
      <s:c r="BN31" s="382"/>
    </s:row>
    <s:row r="32" spans="2:66" s="383" customFormat="1" ht="24" customHeight="1" outlineLevel="1">
      <s:c r="B32" s="372"/>
      <s:c r="C32" s="369"/>
      <s:c r="D32" s="384"/>
      <s:c r="E32" s="370"/>
      <s:c r="F32" s="371"/>
      <s:c r="G32" s="371"/>
      <s:c r="H32" s="371"/>
      <s:c r="I32" s="371"/>
      <s:c r="J32" s="371"/>
      <s:c r="K32" s="371"/>
      <s:c r="L32" s="371"/>
      <s:c r="M32" s="371"/>
      <s:c r="N32" s="371"/>
      <s:c r="O32" s="371"/>
      <s:c r="P32" s="371"/>
      <s:c r="Q32" s="331">
        <s:f>MAX(G32:P32)/5</s:f>
        <s:v>0</s:v>
      </s:c>
      <s:c r="R32" s="331">
        <s:f>MAX(G32:Q32)/5</s:f>
        <s:v>0</s:v>
      </s:c>
      <s:c r="S32" s="380"/>
      <s:c r="T32" s="380"/>
      <s:c r="U32" s="380"/>
      <s:c r="V32" s="380"/>
      <s:c r="W32" s="380"/>
      <s:c r="X32" s="380"/>
      <s:c r="Y32" s="380"/>
      <s:c r="Z32" s="380"/>
      <s:c r="AA32" s="380"/>
      <s:c r="AB32" s="380"/>
      <s:c r="AC32" s="380"/>
      <s:c r="AD32" s="380"/>
      <s:c r="AE32" s="381"/>
      <s:c r="AF32" s="380"/>
      <s:c r="AG32" s="380"/>
      <s:c r="AH32" s="380"/>
      <s:c r="AI32" s="380"/>
      <s:c r="AJ32" s="380"/>
      <s:c r="AK32" s="380"/>
      <s:c r="AL32" s="380"/>
      <s:c r="AM32" s="380"/>
      <s:c r="AN32" s="361"/>
      <s:c r="AO32" s="361"/>
      <s:c r="AP32" s="380"/>
      <s:c r="AQ32" s="380"/>
      <s:c r="AR32" s="380"/>
      <s:c r="AS32" s="380"/>
      <s:c r="AT32" s="380"/>
      <s:c r="AU32" s="380"/>
      <s:c r="AV32" s="380"/>
      <s:c r="AW32" s="380"/>
      <s:c r="AX32" s="380"/>
      <s:c r="AY32" s="380"/>
      <s:c r="AZ32" s="380"/>
      <s:c r="BA32" s="380"/>
      <s:c r="BB32" s="380"/>
      <s:c r="BC32" s="380"/>
      <s:c r="BD32" s="380"/>
      <s:c r="BE32" s="380"/>
      <s:c r="BF32" s="380"/>
      <s:c r="BG32" s="380"/>
      <s:c r="BH32" s="380"/>
      <s:c r="BI32" s="380"/>
      <s:c r="BJ32" s="380"/>
      <s:c r="BK32" s="380"/>
      <s:c r="BL32" s="380"/>
      <s:c r="BM32" s="380"/>
      <s:c r="BN32" s="382"/>
    </s:row>
    <s:row r="33" spans="2:66" s="383" customFormat="1" ht="20.55" customHeight="1" outlineLevel="1">
      <s:c r="B33" s="372"/>
      <s:c r="C33" s="369"/>
      <s:c r="D33" s="384"/>
      <s:c r="E33" s="370"/>
      <s:c r="F33" s="371"/>
      <s:c r="G33" s="371"/>
      <s:c r="H33" s="371"/>
      <s:c r="I33" s="371"/>
      <s:c r="J33" s="371"/>
      <s:c r="K33" s="371"/>
      <s:c r="L33" s="371"/>
      <s:c r="M33" s="371"/>
      <s:c r="N33" s="371"/>
      <s:c r="O33" s="371"/>
      <s:c r="P33" s="371"/>
      <s:c r="Q33" s="331">
        <s:f>MAX(G33:P33)/5</s:f>
        <s:v>0</s:v>
      </s:c>
      <s:c r="R33" s="331">
        <s:f>MAX(G33:Q33)/5</s:f>
        <s:v>0</s:v>
      </s:c>
      <s:c r="S33" s="380"/>
      <s:c r="T33" s="380"/>
      <s:c r="U33" s="380"/>
      <s:c r="V33" s="380"/>
      <s:c r="W33" s="380"/>
      <s:c r="X33" s="380"/>
      <s:c r="Y33" s="380"/>
      <s:c r="Z33" s="380"/>
      <s:c r="AA33" s="380"/>
      <s:c r="AB33" s="380"/>
      <s:c r="AC33" s="380"/>
      <s:c r="AD33" s="380"/>
      <s:c r="AE33" s="381"/>
      <s:c r="AF33" s="380"/>
      <s:c r="AG33" s="380"/>
      <s:c r="AH33" s="380"/>
      <s:c r="AI33" s="380"/>
      <s:c r="AJ33" s="380"/>
      <s:c r="AK33" s="380"/>
      <s:c r="AL33" s="380"/>
      <s:c r="AM33" s="361"/>
      <s:c r="AN33" s="361"/>
      <s:c r="AO33" s="361"/>
      <s:c r="AP33" s="380"/>
      <s:c r="AQ33" s="380"/>
      <s:c r="AR33" s="380"/>
      <s:c r="AS33" s="380"/>
      <s:c r="AT33" s="380"/>
      <s:c r="AU33" s="380"/>
      <s:c r="AV33" s="380"/>
      <s:c r="AW33" s="380"/>
      <s:c r="AX33" s="380"/>
      <s:c r="AY33" s="380"/>
      <s:c r="AZ33" s="380"/>
      <s:c r="BA33" s="380"/>
      <s:c r="BB33" s="380"/>
      <s:c r="BC33" s="380"/>
      <s:c r="BD33" s="380"/>
      <s:c r="BE33" s="380"/>
      <s:c r="BF33" s="380"/>
      <s:c r="BG33" s="380"/>
      <s:c r="BH33" s="380"/>
      <s:c r="BI33" s="380"/>
      <s:c r="BJ33" s="380"/>
      <s:c r="BK33" s="380"/>
      <s:c r="BL33" s="380"/>
      <s:c r="BM33" s="380"/>
      <s:c r="BN33" s="382"/>
    </s:row>
    <s:row r="34" spans="2:66" s="383" customFormat="1" outlineLevel="1">
      <s:c r="B34" s="372"/>
      <s:c r="C34" s="369"/>
      <s:c r="D34" s="379"/>
      <s:c r="E34" s="370"/>
      <s:c r="F34" s="371"/>
      <s:c r="G34" s="371"/>
      <s:c r="H34" s="371"/>
      <s:c r="I34" s="371"/>
      <s:c r="J34" s="371"/>
      <s:c r="K34" s="371"/>
      <s:c r="L34" s="371"/>
      <s:c r="M34" s="371"/>
      <s:c r="N34" s="371"/>
      <s:c r="O34" s="371"/>
      <s:c r="P34" s="371"/>
      <s:c r="Q34" s="331">
        <s:f>MAX(G34:P34)/5</s:f>
        <s:v>0</s:v>
      </s:c>
      <s:c r="R34" s="331">
        <s:f>MAX(G34:Q34)/5</s:f>
        <s:v>0</s:v>
      </s:c>
      <s:c r="S34" s="380"/>
      <s:c r="T34" s="380"/>
      <s:c r="U34" s="380"/>
      <s:c r="V34" s="380"/>
      <s:c r="W34" s="380"/>
      <s:c r="X34" s="380"/>
      <s:c r="Y34" s="380"/>
      <s:c r="Z34" s="380"/>
      <s:c r="AA34" s="380"/>
      <s:c r="AB34" s="380"/>
      <s:c r="AC34" s="380"/>
      <s:c r="AD34" s="380"/>
      <s:c r="AE34" s="381"/>
      <s:c r="AF34" s="380"/>
      <s:c r="AG34" s="380"/>
      <s:c r="AH34" s="380"/>
      <s:c r="AI34" s="380"/>
      <s:c r="AJ34" s="380"/>
      <s:c r="AK34" s="380"/>
      <s:c r="AL34" s="380"/>
      <s:c r="AM34" s="380"/>
      <s:c r="AN34" s="380"/>
      <s:c r="AO34" s="361"/>
      <s:c r="AP34" s="380"/>
      <s:c r="AQ34" s="380"/>
      <s:c r="AR34" s="380"/>
      <s:c r="AS34" s="380"/>
      <s:c r="AT34" s="380"/>
      <s:c r="AU34" s="380"/>
      <s:c r="AV34" s="380"/>
      <s:c r="AW34" s="380"/>
      <s:c r="AX34" s="380"/>
      <s:c r="AY34" s="380"/>
      <s:c r="AZ34" s="380"/>
      <s:c r="BA34" s="380"/>
      <s:c r="BB34" s="380"/>
      <s:c r="BC34" s="380"/>
      <s:c r="BD34" s="380"/>
      <s:c r="BE34" s="380"/>
      <s:c r="BF34" s="380"/>
      <s:c r="BG34" s="380"/>
      <s:c r="BH34" s="380"/>
      <s:c r="BI34" s="380"/>
      <s:c r="BJ34" s="380"/>
      <s:c r="BK34" s="380"/>
      <s:c r="BL34" s="380"/>
      <s:c r="BM34" s="380"/>
      <s:c r="BN34" s="382"/>
    </s:row>
    <s:row r="35" ht="15">
      <s:c r="B35" s="385">
        <s:v>5</s:v>
      </s:c>
      <s:c r="C35" s="386" t="s">
        <s:v>199</s:v>
      </s:c>
      <s:c r="D35" s="386"/>
      <s:c r="E35" s="387">
        <s:f>SUM(E36:E39)</s:f>
        <s:v>0</s:v>
      </s:c>
      <s:c r="F35" s="388">
        <s:f>SUM(F36:F38)</s:f>
        <s:v>0</s:v>
      </s:c>
      <s:c r="G35" s="388">
        <s:f>SUM(G36:G38)</s:f>
        <s:v>0</s:v>
      </s:c>
      <s:c r="H35" s="388">
        <s:f>SUM(H36:H38)</s:f>
        <s:v>0</s:v>
      </s:c>
      <s:c r="I35" s="388">
        <s:f>SUM(I36:I38)</s:f>
        <s:v>0</s:v>
      </s:c>
      <s:c r="J35" s="388">
        <s:f>SUM(J36:J38)</s:f>
        <s:v>0</s:v>
      </s:c>
      <s:c r="K35" s="388">
        <s:f>SUM(K36:K38)</s:f>
        <s:v>0</s:v>
      </s:c>
      <s:c r="L35" s="388">
        <s:f>SUM(L36:L38)</s:f>
        <s:v>0</s:v>
      </s:c>
      <s:c r="M35" s="388">
        <s:f>SUM(M36:M38)</s:f>
        <s:v>0</s:v>
      </s:c>
      <s:c r="N35" s="388">
        <s:f>SUM(N36:N38)</s:f>
        <s:v>0</s:v>
      </s:c>
      <s:c r="O35" s="388">
        <s:f>SUM(O36:O38)</s:f>
        <s:v>0</s:v>
      </s:c>
      <s:c r="P35" s="388">
        <s:f>SUM(P36:P38)</s:f>
        <s:v>0</s:v>
      </s:c>
      <s:c r="Q35" s="331">
        <s:f>MAX(G35:P35)/5</s:f>
        <s:v>0</s:v>
      </s:c>
      <s:c r="R35" s="331">
        <s:f>MAX(G35:Q35)/5</s:f>
        <s:v>0</s:v>
      </s:c>
      <s:c r="S35" s="389"/>
      <s:c r="T35" s="389"/>
      <s:c r="U35" s="389"/>
      <s:c r="V35" s="389"/>
      <s:c r="W35" s="389"/>
      <s:c r="X35" s="389"/>
      <s:c r="Y35" s="389"/>
      <s:c r="Z35" s="389"/>
      <s:c r="AA35" s="389"/>
      <s:c r="AB35" s="389"/>
      <s:c r="AC35" s="389"/>
      <s:c r="AD35" s="389"/>
      <s:c r="AE35" s="390"/>
      <s:c r="AF35" s="389"/>
      <s:c r="AG35" s="389"/>
      <s:c r="AH35" s="389"/>
      <s:c r="AI35" s="389"/>
      <s:c r="AJ35" s="389"/>
      <s:c r="AK35" s="389"/>
      <s:c r="AL35" s="389"/>
      <s:c r="AM35" s="389"/>
      <s:c r="AN35" s="389"/>
      <s:c r="AO35" s="389"/>
      <s:c r="AP35" s="365">
        <s:v>1</s:v>
      </s:c>
      <s:c r="AQ35" s="365">
        <s:v>1</s:v>
      </s:c>
      <s:c r="AR35" s="365">
        <s:v>1</s:v>
      </s:c>
      <s:c r="AS35" s="389"/>
      <s:c r="AT35" s="389"/>
      <s:c r="AU35" s="389"/>
      <s:c r="AV35" s="389"/>
      <s:c r="AW35" s="389"/>
      <s:c r="AX35" s="389"/>
      <s:c r="AY35" s="389"/>
      <s:c r="AZ35" s="389"/>
      <s:c r="BA35" s="389"/>
      <s:c r="BB35" s="389"/>
      <s:c r="BC35" s="389"/>
      <s:c r="BD35" s="389"/>
      <s:c r="BE35" s="389"/>
      <s:c r="BF35" s="389"/>
      <s:c r="BG35" s="389"/>
      <s:c r="BH35" s="389"/>
      <s:c r="BI35" s="389"/>
      <s:c r="BJ35" s="389"/>
      <s:c r="BK35" s="389"/>
      <s:c r="BL35" s="389"/>
      <s:c r="BM35" s="389"/>
      <s:c r="BN35" s="391"/>
    </s:row>
    <s:row r="36">
      <s:c r="B36" s="392"/>
      <s:c r="C36" s="393"/>
      <s:c r="D36" s="393"/>
      <s:c r="E36" s="394"/>
      <s:c r="F36" s="395"/>
      <s:c r="G36" s="396"/>
      <s:c r="H36" s="396"/>
      <s:c r="I36" s="396"/>
      <s:c r="J36" s="396"/>
      <s:c r="K36" s="396"/>
      <s:c r="L36" s="396"/>
      <s:c r="M36" s="396"/>
      <s:c r="N36" s="396"/>
      <s:c r="O36" s="396"/>
      <s:c r="P36" s="396"/>
      <s:c r="Q36" s="331">
        <s:f>MAX(G36:P36)/5</s:f>
        <s:v>0</s:v>
      </s:c>
      <s:c r="R36" s="331">
        <s:f>MAX(G36:Q36)/5</s:f>
        <s:v>0</s:v>
      </s:c>
      <s:c r="S36" s="353"/>
      <s:c r="T36" s="353"/>
      <s:c r="U36" s="353"/>
      <s:c r="V36" s="353"/>
      <s:c r="W36" s="353"/>
      <s:c r="X36" s="353"/>
      <s:c r="Y36" s="353"/>
      <s:c r="Z36" s="353"/>
      <s:c r="AA36" s="353"/>
      <s:c r="AB36" s="353"/>
      <s:c r="AC36" s="353"/>
      <s:c r="AD36" s="353"/>
      <s:c r="AE36" s="353"/>
      <s:c r="AF36" s="353"/>
      <s:c r="AG36" s="353"/>
      <s:c r="AH36" s="353"/>
      <s:c r="AI36" s="353"/>
      <s:c r="AJ36" s="353"/>
      <s:c r="AK36" s="353"/>
      <s:c r="AL36" s="353"/>
      <s:c r="AM36" s="353"/>
      <s:c r="AN36" s="353"/>
      <s:c r="AO36" s="353"/>
      <s:c r="AP36" s="361"/>
      <s:c r="AQ36" s="353"/>
      <s:c r="AR36" s="353"/>
      <s:c r="AS36" s="353"/>
      <s:c r="AT36" s="353"/>
      <s:c r="AU36" s="353"/>
      <s:c r="AV36" s="353"/>
      <s:c r="AW36" s="353"/>
      <s:c r="AX36" s="353"/>
      <s:c r="AY36" s="353"/>
      <s:c r="AZ36" s="353"/>
      <s:c r="BA36" s="353"/>
      <s:c r="BB36" s="353"/>
      <s:c r="BC36" s="353"/>
      <s:c r="BD36" s="353"/>
      <s:c r="BE36" s="353"/>
      <s:c r="BF36" s="353"/>
      <s:c r="BG36" s="353"/>
      <s:c r="BH36" s="353"/>
      <s:c r="BI36" s="353"/>
      <s:c r="BJ36" s="353"/>
      <s:c r="BK36" s="353"/>
      <s:c r="BL36" s="353"/>
      <s:c r="BM36" s="353"/>
      <s:c r="BN36" s="353"/>
    </s:row>
    <s:row r="37">
      <s:c r="B37" s="397"/>
      <s:c r="C37" s="369"/>
      <s:c r="D37" s="369"/>
      <s:c r="E37" s="398"/>
      <s:c r="F37" s="399"/>
      <s:c r="G37" s="371"/>
      <s:c r="H37" s="371"/>
      <s:c r="I37" s="371"/>
      <s:c r="J37" s="371"/>
      <s:c r="K37" s="371"/>
      <s:c r="L37" s="371"/>
      <s:c r="M37" s="400"/>
      <s:c r="N37" s="400"/>
      <s:c r="O37" s="371"/>
      <s:c r="P37" s="371"/>
      <s:c r="Q37" s="331">
        <s:f>MAX(G37:P37)/5</s:f>
        <s:v>0</s:v>
      </s:c>
      <s:c r="R37" s="331">
        <s:f>MAX(G37:Q37)/5</s:f>
        <s:v>0</s:v>
      </s:c>
      <s:c r="S37" s="353"/>
      <s:c r="T37" s="353"/>
      <s:c r="U37" s="353"/>
      <s:c r="V37" s="353"/>
      <s:c r="W37" s="353"/>
      <s:c r="X37" s="353"/>
      <s:c r="Y37" s="353"/>
      <s:c r="Z37" s="353"/>
      <s:c r="AA37" s="353"/>
      <s:c r="AB37" s="353"/>
      <s:c r="AC37" s="353"/>
      <s:c r="AD37" s="353"/>
      <s:c r="AE37" s="353"/>
      <s:c r="AF37" s="353"/>
      <s:c r="AG37" s="353"/>
      <s:c r="AH37" s="353"/>
      <s:c r="AI37" s="353"/>
      <s:c r="AJ37" s="353"/>
      <s:c r="AK37" s="353"/>
      <s:c r="AL37" s="353"/>
      <s:c r="AM37" s="353"/>
      <s:c r="AN37" s="353"/>
      <s:c r="AO37" s="353"/>
      <s:c r="AP37" s="361"/>
      <s:c r="AQ37" s="353"/>
      <s:c r="AR37" s="353"/>
      <s:c r="AS37" s="353"/>
      <s:c r="AT37" s="353"/>
      <s:c r="AU37" s="353"/>
      <s:c r="AV37" s="353"/>
      <s:c r="AW37" s="353"/>
      <s:c r="AX37" s="353"/>
      <s:c r="AY37" s="353"/>
      <s:c r="AZ37" s="353"/>
      <s:c r="BA37" s="353"/>
      <s:c r="BB37" s="353"/>
      <s:c r="BC37" s="353"/>
      <s:c r="BD37" s="353"/>
      <s:c r="BE37" s="353"/>
      <s:c r="BF37" s="353"/>
      <s:c r="BG37" s="353"/>
      <s:c r="BH37" s="353"/>
      <s:c r="BI37" s="353"/>
      <s:c r="BJ37" s="353"/>
      <s:c r="BK37" s="353"/>
      <s:c r="BL37" s="353"/>
      <s:c r="BM37" s="353"/>
      <s:c r="BN37" s="353"/>
    </s:row>
    <s:row r="38">
      <s:c r="B38" s="397"/>
      <s:c r="C38" s="369"/>
      <s:c r="D38" s="369"/>
      <s:c r="E38" s="398"/>
      <s:c r="F38" s="399"/>
      <s:c r="G38" s="371"/>
      <s:c r="H38" s="371"/>
      <s:c r="I38" s="371"/>
      <s:c r="J38" s="371"/>
      <s:c r="K38" s="371"/>
      <s:c r="L38" s="371"/>
      <s:c r="M38" s="371"/>
      <s:c r="N38" s="371"/>
      <s:c r="O38" s="371"/>
      <s:c r="P38" s="371"/>
      <s:c r="Q38" s="331">
        <s:f>MAX(G38:P38)/5</s:f>
        <s:v>0</s:v>
      </s:c>
      <s:c r="R38" s="331">
        <s:f>MAX(G38:Q38)/5</s:f>
        <s:v>0</s:v>
      </s:c>
      <s:c r="S38" s="353"/>
      <s:c r="T38" s="353"/>
      <s:c r="U38" s="353"/>
      <s:c r="V38" s="353"/>
      <s:c r="W38" s="353"/>
      <s:c r="X38" s="353"/>
      <s:c r="Y38" s="353"/>
      <s:c r="Z38" s="353"/>
      <s:c r="AA38" s="353"/>
      <s:c r="AB38" s="353"/>
      <s:c r="AC38" s="353"/>
      <s:c r="AD38" s="353"/>
      <s:c r="AE38" s="353"/>
      <s:c r="AF38" s="353"/>
      <s:c r="AG38" s="353"/>
      <s:c r="AH38" s="353"/>
      <s:c r="AI38" s="353"/>
      <s:c r="AJ38" s="353"/>
      <s:c r="AK38" s="353"/>
      <s:c r="AL38" s="353"/>
      <s:c r="AM38" s="353"/>
      <s:c r="AN38" s="353"/>
      <s:c r="AO38" s="353"/>
      <s:c r="AP38" s="353"/>
      <s:c r="AQ38" s="361"/>
      <s:c r="AR38" s="353"/>
      <s:c r="AS38" s="353"/>
      <s:c r="AT38" s="353"/>
      <s:c r="AU38" s="353"/>
      <s:c r="AV38" s="353"/>
      <s:c r="AW38" s="353"/>
      <s:c r="AX38" s="353"/>
      <s:c r="AY38" s="353"/>
      <s:c r="AZ38" s="353"/>
      <s:c r="BA38" s="353"/>
      <s:c r="BB38" s="353"/>
      <s:c r="BC38" s="353"/>
      <s:c r="BD38" s="353"/>
      <s:c r="BE38" s="353"/>
      <s:c r="BF38" s="353"/>
      <s:c r="BG38" s="353"/>
      <s:c r="BH38" s="353"/>
      <s:c r="BI38" s="353"/>
      <s:c r="BJ38" s="353"/>
      <s:c r="BK38" s="353"/>
      <s:c r="BL38" s="353"/>
      <s:c r="BM38" s="353"/>
      <s:c r="BN38" s="353"/>
    </s:row>
    <s:row r="39">
      <s:c r="B39" s="397"/>
      <s:c r="C39" s="369"/>
      <s:c r="D39" s="369"/>
      <s:c r="E39" s="398"/>
      <s:c r="F39" s="399"/>
      <s:c r="G39" s="371"/>
      <s:c r="H39" s="371"/>
      <s:c r="I39" s="371"/>
      <s:c r="J39" s="371"/>
      <s:c r="K39" s="371"/>
      <s:c r="L39" s="371"/>
      <s:c r="M39" s="371"/>
      <s:c r="N39" s="371"/>
      <s:c r="O39" s="371"/>
      <s:c r="P39" s="371"/>
      <s:c r="Q39" s="331">
        <s:f>MAX(G39:P39)/5</s:f>
        <s:v>0</s:v>
      </s:c>
      <s:c r="R39" s="331">
        <s:f>MAX(G39:Q39)/5</s:f>
        <s:v>0</s:v>
      </s:c>
      <s:c r="S39" s="353"/>
      <s:c r="T39" s="353"/>
      <s:c r="U39" s="353"/>
      <s:c r="V39" s="353"/>
      <s:c r="W39" s="353"/>
      <s:c r="X39" s="353"/>
      <s:c r="Y39" s="353"/>
      <s:c r="Z39" s="353"/>
      <s:c r="AA39" s="353"/>
      <s:c r="AB39" s="353"/>
      <s:c r="AC39" s="353"/>
      <s:c r="AD39" s="353"/>
      <s:c r="AE39" s="353"/>
      <s:c r="AF39" s="353"/>
      <s:c r="AG39" s="353"/>
      <s:c r="AH39" s="353"/>
      <s:c r="AI39" s="353"/>
      <s:c r="AJ39" s="353"/>
      <s:c r="AK39" s="353"/>
      <s:c r="AL39" s="353"/>
      <s:c r="AM39" s="353"/>
      <s:c r="AN39" s="353"/>
      <s:c r="AO39" s="353"/>
      <s:c r="AP39" s="353"/>
      <s:c r="AQ39" s="353"/>
      <s:c r="AR39" s="361"/>
      <s:c r="AS39" s="353"/>
      <s:c r="AT39" s="353"/>
      <s:c r="AU39" s="353"/>
      <s:c r="AV39" s="353"/>
      <s:c r="AW39" s="353"/>
      <s:c r="AX39" s="353"/>
      <s:c r="AY39" s="353"/>
      <s:c r="AZ39" s="353"/>
      <s:c r="BA39" s="353"/>
      <s:c r="BB39" s="353"/>
      <s:c r="BC39" s="353"/>
      <s:c r="BD39" s="353"/>
      <s:c r="BE39" s="353"/>
      <s:c r="BF39" s="353"/>
      <s:c r="BG39" s="353"/>
      <s:c r="BH39" s="353"/>
      <s:c r="BI39" s="353"/>
      <s:c r="BJ39" s="353"/>
      <s:c r="BK39" s="353"/>
      <s:c r="BL39" s="353"/>
      <s:c r="BM39" s="353"/>
      <s:c r="BN39" s="353"/>
    </s:row>
    <s:row r="40">
      <s:c r="E40" s="331"/>
      <s:c r="G40" s="401"/>
      <s:c r="H40" s="401"/>
      <s:c r="I40" s="402"/>
      <s:c r="J40" s="402"/>
      <s:c r="K40" s="402"/>
      <s:c r="L40" s="402"/>
      <s:c r="M40" s="402"/>
      <s:c r="N40" s="402"/>
      <s:c r="O40" s="402"/>
      <s:c r="P40" s="402"/>
    </s:row>
    <s:row r="41">
      <s:c r="D41" s="403"/>
      <s:c r="E41" s="331"/>
      <s:c r="G41" s="401"/>
      <s:c r="H41" s="401"/>
      <s:c r="I41" s="401"/>
      <s:c r="J41" s="401"/>
      <s:c r="K41" s="401"/>
      <s:c r="L41" s="401"/>
      <s:c r="M41" s="401"/>
      <s:c r="N41" s="401"/>
      <s:c r="O41" s="401"/>
      <s:c r="P41" s="401"/>
    </s:row>
    <s:row r="42">
      <s:c r="D42" s="403"/>
      <s:c r="E42" s="331"/>
      <s:c r="F42" s="401"/>
      <s:c r="G42" s="401"/>
      <s:c r="H42" s="401"/>
      <s:c r="I42" s="401"/>
      <s:c r="J42" s="401"/>
      <s:c r="K42" s="401"/>
      <s:c r="L42" s="401"/>
      <s:c r="M42" s="401"/>
      <s:c r="N42" s="401"/>
      <s:c r="O42" s="401"/>
      <s:c r="P42" s="401"/>
    </s:row>
    <s:row r="43">
      <s:c r="E43" s="404"/>
      <s:c r="F43" s="401"/>
      <s:c r="G43" s="401"/>
      <s:c r="H43" s="401"/>
      <s:c r="I43" s="401"/>
      <s:c r="J43" s="401"/>
      <s:c r="K43" s="401"/>
      <s:c r="L43" s="401"/>
      <s:c r="M43" s="401"/>
      <s:c r="N43" s="401"/>
      <s:c r="O43" s="401"/>
      <s:c r="P43" s="401"/>
    </s:row>
    <s:row r="44">
      <s:c r="E44" s="404"/>
    </s:row>
    <s:row r="45">
      <s:c r="F45" s="405"/>
    </s:row>
  </s:sheetData>
  <s:mergeCells count="12">
    <s:mergeCell ref="BK2:BN2"/>
    <s:mergeCell ref="S2:V2"/>
    <s:mergeCell ref="W2:Z2"/>
    <s:mergeCell ref="AA2:AD2"/>
    <s:mergeCell ref="AE2:AH2"/>
    <s:mergeCell ref="AI2:AL2"/>
    <s:mergeCell ref="AM2:AP2"/>
    <s:mergeCell ref="AQ2:AT2"/>
    <s:mergeCell ref="AU2:AX2"/>
    <s:mergeCell ref="AY2:BB2"/>
    <s:mergeCell ref="BC2:BF2"/>
    <s:mergeCell ref="BG2:BJ2"/>
  </s:mergeCells>
  <s:pageMargins left="0.7" right="0.7" top="0.75" bottom="0.75" header="0.3" footer="0.3"/>
  <s:pageSetup paperSize="9" firstPageNumber="2147483648" orientation="portrait" r:id="rId1"/>
</s:worksheet>
</file>

<file path=xl/worksheets/sheet8.xml><?xml version="1.0" encoding="utf-8"?>
<s:worksheet xmlns:mc="http://schemas.openxmlformats.org/markup-compatibility/2006" xmlns:xr3="http://schemas.microsoft.com/office/spreadsheetml/2016/revision3" xmlns:s="http://schemas.openxmlformats.org/spreadsheetml/2006/main" xmlns:xr2="http://schemas.microsoft.com/office/spreadsheetml/2015/revision2" xmlns:x14ac="http://schemas.microsoft.com/office/spreadsheetml/2009/9/ac" xmlns:vyd="http://volga.yandex.com/schemas/document/model" xmlns:xr="http://schemas.microsoft.com/office/spreadsheetml/2014/revision" mc:Ignorable="x14ac xr xr2 xr3" xr:uid="{00000000-0001-0000-0200-000000000000}">
  <s:sheetPr codeName="Лист1"/>
  <s:dimension ref="A1:P34"/>
  <s:sheetViews>
    <s:sheetView tabSelected="0" zoomScale="80" zoomScaleNormal="80" workbookViewId="0">
      <s:pane xSplit="2" ySplit="6" topLeftCell="C7" activePane="bottomRight" state="frozen"/>
      <s:selection activeCell="O7" sqref="O7"/>
      <s:selection pane="topRight"/>
      <s:selection pane="bottomLeft"/>
      <s:selection pane="bottomRight" activeCell="L35" sqref="L35"/>
    </s:sheetView>
  </s:sheetViews>
  <s:sheetFormatPr defaultColWidth="8.777" defaultRowHeight="13.2"/>
  <s:cols>
    <s:col min="1" max="1" width="19" customWidth="1"/>
    <s:col min="2" max="2" width="16.109" customWidth="1"/>
    <s:col min="3" max="14" width="11.441" customWidth="1"/>
    <s:col min="15" max="15" width="15.109" customWidth="1"/>
    <s:col min="16" max="16" width="15" customWidth="1"/>
  </s:cols>
  <s:sheetData>
    <s:row r="1" spans="1:16" s="129" customFormat="1" ht="12">
      <s:c r="A1" s="710" t="s">
        <s:v>91</s:v>
      </s:c>
      <s:c r="B1" s="710"/>
      <s:c r="C1" s="130">
        <s:f>DATEVALUE("01/01/"&amp;YEAR(ОПУ!B1))</s:f>
        <s:v>1</s:v>
      </s:c>
      <s:c r="D1" s="131">
        <s:f>EDATE(C1,1)</s:f>
        <s:v>32</s:v>
      </s:c>
      <s:c r="E1" s="131">
        <s:f>EDATE(D1,1)</s:f>
        <s:v>61</s:v>
      </s:c>
      <s:c r="F1" s="131">
        <s:f>EDATE(E1,1)</s:f>
        <s:v>92</s:v>
      </s:c>
      <s:c r="G1" s="131">
        <s:f>EDATE(F1,1)</s:f>
        <s:v>122</s:v>
      </s:c>
      <s:c r="H1" s="131">
        <s:f>EDATE(G1,1)</s:f>
        <s:v>153</s:v>
      </s:c>
      <s:c r="I1" s="131">
        <s:f>EDATE(H1,1)</s:f>
        <s:v>183</s:v>
      </s:c>
      <s:c r="J1" s="131">
        <s:f>EDATE(I1,1)</s:f>
        <s:v>214</s:v>
      </s:c>
      <s:c r="K1" s="131">
        <s:f>EDATE(J1,1)</s:f>
        <s:v>245</s:v>
      </s:c>
      <s:c r="L1" s="131">
        <s:f>EDATE(K1,1)</s:f>
        <s:v>275</s:v>
      </s:c>
      <s:c r="M1" s="131">
        <s:f>EDATE(L1,1)</s:f>
        <s:v>306</s:v>
      </s:c>
      <s:c r="N1" s="132">
        <s:f>EDATE(M1,1)</s:f>
        <s:v>336</s:v>
      </s:c>
      <s:c r="O1" s="133" t="s">
        <s:v>65</s:v>
      </s:c>
      <s:c r="P1" s="134" t="s">
        <s:v>92</s:v>
      </s:c>
    </s:row>
    <s:row r="2" ht="13.8">
      <s:c r="A2" s="711" t="s">
        <s:v>65</s:v>
      </s:c>
      <s:c r="B2" s="711"/>
      <s:c r="C2" s="135">
        <s:f ca="1">SUM(C3:C5)</s:f>
        <s:v>0</s:v>
      </s:c>
      <s:c r="D2" s="135">
        <s:f ca="1">SUM(D3:D5)</s:f>
        <s:v>0</s:v>
      </s:c>
      <s:c r="E2" s="135">
        <s:f ca="1">SUM(E3:E5)</s:f>
        <s:v>0</s:v>
      </s:c>
      <s:c r="F2" s="135">
        <s:f ca="1">SUM(F3:F5)</s:f>
        <s:v>0</s:v>
      </s:c>
      <s:c r="G2" s="135">
        <s:f ca="1">SUM(G3:G5)</s:f>
        <s:v>0</s:v>
      </s:c>
      <s:c r="H2" s="135">
        <s:f ca="1">SUM(H3:H5)</s:f>
        <s:v>0</s:v>
      </s:c>
      <s:c r="I2" s="135">
        <s:f ca="1">SUM(I3:I5)</s:f>
        <s:v>0</s:v>
      </s:c>
      <s:c r="J2" s="135">
        <s:f ca="1">SUM(J3:J5)</s:f>
        <s:v>0</s:v>
      </s:c>
      <s:c r="K2" s="135">
        <s:f ca="1">SUM(K3:K5)</s:f>
        <s:v>0</s:v>
      </s:c>
      <s:c r="L2" s="135">
        <s:f ca="1">SUM(L3:L5)</s:f>
        <s:v>0</s:v>
      </s:c>
      <s:c r="M2" s="135">
        <s:f ca="1">SUM(M3:M5)</s:f>
        <s:v>0</s:v>
      </s:c>
      <s:c r="N2" s="136">
        <s:f ca="1">SUM(N3:N5)</s:f>
        <s:v>0</s:v>
      </s:c>
      <s:c r="O2" s="137">
        <s:f ca="1">SUM(C2:N2)</s:f>
        <s:v>0</s:v>
      </s:c>
      <s:c r="P2" s="138">
        <s:f ca="1">'Калькулятор бюджета по этапам'!M17</s:f>
        <s:v>0</s:v>
      </s:c>
    </s:row>
    <s:row r="3">
      <s:c r="A3" s="712" t="s">
        <s:v>42</s:v>
      </s:c>
      <s:c r="B3" s="713"/>
      <s:c r="C3" s="139">
        <s:f ca="1">SUMPRODUCT($B$7:$B994,C7:C994)</s:f>
        <s:v>0</s:v>
      </s:c>
      <s:c r="D3" s="139">
        <s:f ca="1">SUMPRODUCT($B$7:$B994,D7:D994)</s:f>
        <s:v>0</s:v>
      </s:c>
      <s:c r="E3" s="139">
        <s:f ca="1">SUMPRODUCT($B$7:$B994,E7:E994)</s:f>
        <s:v>0</s:v>
      </s:c>
      <s:c r="F3" s="139">
        <s:f ca="1">SUMPRODUCT($B$7:$B994,F7:F994)</s:f>
        <s:v>0</s:v>
      </s:c>
      <s:c r="G3" s="139">
        <s:f ca="1">SUMPRODUCT($B$7:$B994,G7:G994)</s:f>
        <s:v>0</s:v>
      </s:c>
      <s:c r="H3" s="139">
        <s:f ca="1">SUMPRODUCT($B$7:$B994,H7:H994)</s:f>
        <s:v>0</s:v>
      </s:c>
      <s:c r="I3" s="139">
        <s:f ca="1">SUMPRODUCT($B$7:$B994,I7:I994)</s:f>
        <s:v>0</s:v>
      </s:c>
      <s:c r="J3" s="139">
        <s:f ca="1">SUMPRODUCT($B$7:$B994,J7:J994)</s:f>
        <s:v>0</s:v>
      </s:c>
      <s:c r="K3" s="139">
        <s:f ca="1">SUMPRODUCT($B$7:$B994,K7:K994)</s:f>
        <s:v>0</s:v>
      </s:c>
      <s:c r="L3" s="139">
        <s:f ca="1">SUMPRODUCT($B$7:$B994,L7:L994)</s:f>
        <s:v>0</s:v>
      </s:c>
      <s:c r="M3" s="139">
        <s:f ca="1">SUMPRODUCT($B$7:$B994,M7:M994)</s:f>
        <s:v>0</s:v>
      </s:c>
      <s:c r="N3" s="140">
        <s:f ca="1">SUMPRODUCT($B$7:$B994,N7:N994)</s:f>
        <s:v>0</s:v>
      </s:c>
      <s:c r="O3" s="141">
        <s:f ca="1">SUM(C3:N3)</s:f>
        <s:v>0</s:v>
      </s:c>
      <s:c r="P3" s="142">
        <s:f ca="1">'Калькулятор бюджета по этапам'!M18</s:f>
        <s:v>0</s:v>
      </s:c>
    </s:row>
    <s:row r="4">
      <s:c r="A4" s="712" t="s">
        <s:v>43</s:v>
      </s:c>
      <s:c r="B4" s="713"/>
      <s:c r="C4" s="143"/>
      <s:c r="D4" s="143"/>
      <s:c r="E4" s="143"/>
      <s:c r="F4" s="143"/>
      <s:c r="G4" s="143"/>
      <s:c r="H4" s="143"/>
      <s:c r="I4" s="143"/>
      <s:c r="J4" s="143"/>
      <s:c r="K4" s="143"/>
      <s:c r="L4" s="143"/>
      <s:c r="M4" s="143"/>
      <s:c r="N4" s="144"/>
      <s:c r="O4" s="141">
        <s:f>SUM(C4:N4)</s:f>
        <s:v>0</s:v>
      </s:c>
      <s:c r="P4" s="142">
        <s:f ca="1">'Калькулятор бюджета по этапам'!M19</s:f>
        <s:v>0</s:v>
      </s:c>
    </s:row>
    <s:row r="5">
      <s:c r="A5" s="712" t="s">
        <s:v>44</s:v>
      </s:c>
      <s:c r="B5" s="713"/>
      <s:c r="C5" s="143"/>
      <s:c r="D5" s="143"/>
      <s:c r="E5" s="143"/>
      <s:c r="F5" s="143"/>
      <s:c r="G5" s="143"/>
      <s:c r="H5" s="143"/>
      <s:c r="I5" s="143"/>
      <s:c r="J5" s="143"/>
      <s:c r="K5" s="143"/>
      <s:c r="L5" s="143"/>
      <s:c r="M5" s="143"/>
      <s:c r="N5" s="144"/>
      <s:c r="O5" s="141">
        <s:f>SUM(C5:N5)</s:f>
        <s:v>0</s:v>
      </s:c>
      <s:c r="P5" s="142">
        <s:f ca="1">'Калькулятор бюджета по этапам'!M20</s:f>
        <s:v>0</s:v>
      </s:c>
    </s:row>
    <s:row r="6" ht="24">
      <s:c r="A6" s="145" t="s">
        <s:v>93</s:v>
      </s:c>
      <s:c r="B6" s="146" t="s">
        <s:v>94</s:v>
      </s:c>
      <s:c r="C6" s="708" t="s">
        <s:v>34</s:v>
      </s:c>
      <s:c r="D6" s="709"/>
      <s:c r="E6" s="709"/>
      <s:c r="F6" s="709"/>
      <s:c r="G6" s="709"/>
      <s:c r="H6" s="709"/>
      <s:c r="I6" s="709"/>
      <s:c r="J6" s="709"/>
      <s:c r="K6" s="709"/>
      <s:c r="L6" s="709"/>
      <s:c r="M6" s="709"/>
      <s:c r="N6" s="709"/>
      <s:c r="O6" s="147">
        <s:f ca="1">SUM(O7:O1993)</s:f>
        <s:v>0</s:v>
      </s:c>
      <s:c r="P6" s="148">
        <s:f ca="1">SUM(P7:P1993)</s:f>
        <s:v>0</s:v>
      </s:c>
    </s:row>
    <s:row r="7">
      <s:c r="A7" s="149"/>
      <s:c r="B7" s="150">
        <s:f ca="1">IFERROR(VLOOKUP(A7,r_dt_team,4, FALSE),0)</s:f>
        <s:v>0</s:v>
      </s:c>
      <s:c r="C7" s="570">
        <s:f ca="1">P7-SUM(D7:J7)</s:f>
        <s:v>0</s:v>
      </s:c>
      <s:c r="D7" s="151">
        <s:f ca="1">ROUND($P7/8,0)</s:f>
        <s:v>0</s:v>
      </s:c>
      <s:c r="E7" s="151">
        <s:f ca="1">ROUND($P7/8,0)</s:f>
        <s:v>0</s:v>
      </s:c>
      <s:c r="F7" s="151">
        <s:f ca="1">ROUND($P7/8,0)</s:f>
        <s:v>0</s:v>
      </s:c>
      <s:c r="G7" s="151">
        <s:f ca="1">ROUND($P7/8,0)</s:f>
        <s:v>0</s:v>
      </s:c>
      <s:c r="H7" s="151">
        <s:f ca="1">ROUND($P7/8,0)</s:f>
        <s:v>0</s:v>
      </s:c>
      <s:c r="I7" s="151">
        <s:f ca="1">ROUND($P7/8,0)</s:f>
        <s:v>0</s:v>
      </s:c>
      <s:c r="J7" s="151">
        <s:f ca="1">ROUND($P7/8,0)</s:f>
        <s:v>0</s:v>
      </s:c>
      <s:c r="K7" s="151"/>
      <s:c r="L7" s="151"/>
      <s:c r="M7" s="151"/>
      <s:c r="N7" s="152"/>
      <s:c r="O7" s="153">
        <s:f ca="1">SUM(C7:N7)</s:f>
        <s:v>0</s:v>
      </s:c>
      <s:c r="P7" s="154">
        <s:f ca="1">IFERROR(SUMIF(p_dt_c_person,A7,p_dt_c_eff),0)</s:f>
        <s:v>0</s:v>
      </s:c>
    </s:row>
    <s:row r="8">
      <s:c r="A8" s="149"/>
      <s:c r="B8" s="150">
        <s:f ca="1">IFERROR(VLOOKUP(A8,r_dt_team,4, FALSE),0)</s:f>
        <s:v>0</s:v>
      </s:c>
      <s:c r="C8" s="570">
        <s:f ca="1">P8-SUM(D8:J8)</s:f>
        <s:v>0</s:v>
      </s:c>
      <s:c r="D8" s="151">
        <s:f ca="1">ROUND($P8/8,0)</s:f>
        <s:v>0</s:v>
      </s:c>
      <s:c r="E8" s="151">
        <s:f ca="1">ROUND($P8/8,0)</s:f>
        <s:v>0</s:v>
      </s:c>
      <s:c r="F8" s="151">
        <s:f ca="1">ROUND($P8/8,0)</s:f>
        <s:v>0</s:v>
      </s:c>
      <s:c r="G8" s="151">
        <s:f ca="1">ROUND($P8/8,0)</s:f>
        <s:v>0</s:v>
      </s:c>
      <s:c r="H8" s="151">
        <s:f ca="1">ROUND($P8/8,0)</s:f>
        <s:v>0</s:v>
      </s:c>
      <s:c r="I8" s="151">
        <s:f ca="1">ROUND($P8/8,0)</s:f>
        <s:v>0</s:v>
      </s:c>
      <s:c r="J8" s="151">
        <s:f ca="1">ROUND($P8/8,0)</s:f>
        <s:v>0</s:v>
      </s:c>
      <s:c r="K8" s="151"/>
      <s:c r="L8" s="151"/>
      <s:c r="M8" s="151"/>
      <s:c r="N8" s="152"/>
      <s:c r="O8" s="153">
        <s:f ca="1">SUM(C8:N8)</s:f>
        <s:v>0</s:v>
      </s:c>
      <s:c r="P8" s="154">
        <s:f ca="1">IFERROR(SUMIF(p_dt_c_person,A8,p_dt_c_eff),0)</s:f>
        <s:v>0</s:v>
      </s:c>
    </s:row>
    <s:row r="9">
      <s:c r="A9" s="149"/>
      <s:c r="B9" s="150">
        <s:f ca="1">IFERROR(VLOOKUP(A9,r_dt_team,4, FALSE),0)</s:f>
        <s:v>0</s:v>
      </s:c>
      <s:c r="C9" s="570">
        <s:f ca="1">P9-SUM(D9:J9)</s:f>
        <s:v>0</s:v>
      </s:c>
      <s:c r="D9" s="151">
        <s:f ca="1">ROUND($P9/8,0)</s:f>
        <s:v>0</s:v>
      </s:c>
      <s:c r="E9" s="151">
        <s:f ca="1">ROUND($P9/8,0)</s:f>
        <s:v>0</s:v>
      </s:c>
      <s:c r="F9" s="151">
        <s:f ca="1">ROUND($P9/8,0)</s:f>
        <s:v>0</s:v>
      </s:c>
      <s:c r="G9" s="151">
        <s:f ca="1">ROUND($P9/8,0)</s:f>
        <s:v>0</s:v>
      </s:c>
      <s:c r="H9" s="151">
        <s:f ca="1">ROUND($P9/8,0)</s:f>
        <s:v>0</s:v>
      </s:c>
      <s:c r="I9" s="151">
        <s:f ca="1">ROUND($P9/8,0)</s:f>
        <s:v>0</s:v>
      </s:c>
      <s:c r="J9" s="151">
        <s:f ca="1">ROUND($P9/8,0)</s:f>
        <s:v>0</s:v>
      </s:c>
      <s:c r="K9" s="151"/>
      <s:c r="L9" s="151"/>
      <s:c r="M9" s="151"/>
      <s:c r="N9" s="152"/>
      <s:c r="O9" s="153">
        <s:f ca="1">SUM(C9:N9)</s:f>
        <s:v>0</s:v>
      </s:c>
      <s:c r="P9" s="154">
        <s:f ca="1">IFERROR(SUMIF(p_dt_c_person,A9,p_dt_c_eff),0)</s:f>
        <s:v>0</s:v>
      </s:c>
    </s:row>
    <s:row r="10">
      <s:c r="A10" s="149"/>
      <s:c r="B10" s="150">
        <s:f ca="1">IFERROR(VLOOKUP(A10,r_dt_team,4, FALSE),0)</s:f>
        <s:v>0</s:v>
      </s:c>
      <s:c r="C10" s="570">
        <s:f ca="1">P10-SUM(D10:J10)</s:f>
        <s:v>0</s:v>
      </s:c>
      <s:c r="D10" s="151">
        <s:f ca="1">ROUND($P10/8,0)</s:f>
        <s:v>0</s:v>
      </s:c>
      <s:c r="E10" s="151">
        <s:f ca="1">ROUND($P10/8,0)</s:f>
        <s:v>0</s:v>
      </s:c>
      <s:c r="F10" s="151">
        <s:f ca="1">ROUND($P10/8,0)</s:f>
        <s:v>0</s:v>
      </s:c>
      <s:c r="G10" s="151">
        <s:f ca="1">ROUND($P10/8,0)</s:f>
        <s:v>0</s:v>
      </s:c>
      <s:c r="H10" s="151">
        <s:f ca="1">ROUND($P10/8,0)</s:f>
        <s:v>0</s:v>
      </s:c>
      <s:c r="I10" s="151">
        <s:f ca="1">ROUND($P10/8,0)</s:f>
        <s:v>0</s:v>
      </s:c>
      <s:c r="J10" s="151">
        <s:f ca="1">ROUND($P10/8,0)</s:f>
        <s:v>0</s:v>
      </s:c>
      <s:c r="K10" s="151"/>
      <s:c r="L10" s="151"/>
      <s:c r="M10" s="151"/>
      <s:c r="N10" s="152"/>
      <s:c r="O10" s="153">
        <s:f ca="1">SUM(C10:N10)</s:f>
        <s:v>0</s:v>
      </s:c>
      <s:c r="P10" s="154">
        <s:f ca="1">IFERROR(SUMIF(p_dt_c_person,A10,p_dt_c_eff),0)</s:f>
        <s:v>0</s:v>
      </s:c>
    </s:row>
    <s:row r="11">
      <s:c r="A11" s="149"/>
      <s:c r="B11" s="150">
        <s:f ca="1">IFERROR(VLOOKUP(A11,r_dt_team,4, FALSE),0)</s:f>
        <s:v>0</s:v>
      </s:c>
      <s:c r="C11" s="570">
        <s:f ca="1">P11-SUM(D11:J11)</s:f>
        <s:v>0</s:v>
      </s:c>
      <s:c r="D11" s="151">
        <s:f ca="1">ROUND($P11/8,0)</s:f>
        <s:v>0</s:v>
      </s:c>
      <s:c r="E11" s="151">
        <s:f ca="1">ROUND($P11/8,0)</s:f>
        <s:v>0</s:v>
      </s:c>
      <s:c r="F11" s="151">
        <s:f ca="1">ROUND($P11/8,0)</s:f>
        <s:v>0</s:v>
      </s:c>
      <s:c r="G11" s="151">
        <s:f ca="1">ROUND($P11/8,0)</s:f>
        <s:v>0</s:v>
      </s:c>
      <s:c r="H11" s="151">
        <s:f ca="1">ROUND($P11/8,0)</s:f>
        <s:v>0</s:v>
      </s:c>
      <s:c r="I11" s="151">
        <s:f ca="1">ROUND($P11/8,0)</s:f>
        <s:v>0</s:v>
      </s:c>
      <s:c r="J11" s="151">
        <s:f ca="1">ROUND($P11/8,0)</s:f>
        <s:v>0</s:v>
      </s:c>
      <s:c r="K11" s="151"/>
      <s:c r="L11" s="151"/>
      <s:c r="M11" s="151"/>
      <s:c r="N11" s="152"/>
      <s:c r="O11" s="153">
        <s:f ca="1">SUM(C11:N11)</s:f>
        <s:v>0</s:v>
      </s:c>
      <s:c r="P11" s="154">
        <s:f ca="1">IFERROR(SUMIF(p_dt_c_person,A11,p_dt_c_eff),0)</s:f>
        <s:v>0</s:v>
      </s:c>
    </s:row>
    <s:row r="12">
      <s:c r="A12" s="149"/>
      <s:c r="B12" s="150">
        <s:f ca="1">IFERROR(VLOOKUP(A12,r_dt_team,4, FALSE),0)</s:f>
        <s:v>0</s:v>
      </s:c>
      <s:c r="C12" s="570">
        <s:f ca="1">P12-SUM(D12:J12)</s:f>
        <s:v>0</s:v>
      </s:c>
      <s:c r="D12" s="151">
        <s:f ca="1">ROUND($P12/8,0)</s:f>
        <s:v>0</s:v>
      </s:c>
      <s:c r="E12" s="151">
        <s:f ca="1">ROUND($P12/8,0)</s:f>
        <s:v>0</s:v>
      </s:c>
      <s:c r="F12" s="151">
        <s:f ca="1">ROUND($P12/8,0)</s:f>
        <s:v>0</s:v>
      </s:c>
      <s:c r="G12" s="151">
        <s:f ca="1">ROUND($P12/8,0)</s:f>
        <s:v>0</s:v>
      </s:c>
      <s:c r="H12" s="151">
        <s:f ca="1">ROUND($P12/8,0)</s:f>
        <s:v>0</s:v>
      </s:c>
      <s:c r="I12" s="151">
        <s:f ca="1">ROUND($P12/8,0)</s:f>
        <s:v>0</s:v>
      </s:c>
      <s:c r="J12" s="151">
        <s:f ca="1">ROUND($P12/8,0)</s:f>
        <s:v>0</s:v>
      </s:c>
      <s:c r="K12" s="151"/>
      <s:c r="L12" s="151"/>
      <s:c r="M12" s="151"/>
      <s:c r="N12" s="152"/>
      <s:c r="O12" s="153">
        <s:f ca="1">SUM(C12:N12)</s:f>
        <s:v>0</s:v>
      </s:c>
      <s:c r="P12" s="154">
        <s:f ca="1">IFERROR(SUMIF(p_dt_c_person,A12,p_dt_c_eff),0)</s:f>
        <s:v>0</s:v>
      </s:c>
    </s:row>
    <s:row r="13">
      <s:c r="A13" s="149"/>
      <s:c r="B13" s="150">
        <s:f ca="1">IFERROR(VLOOKUP(A13,r_dt_team,4, FALSE),0)</s:f>
        <s:v>0</s:v>
      </s:c>
      <s:c r="C13" s="570">
        <s:f ca="1">P13-SUM(D13:J13)</s:f>
        <s:v>0</s:v>
      </s:c>
      <s:c r="D13" s="151">
        <s:f ca="1">ROUND($P13/8,0)</s:f>
        <s:v>0</s:v>
      </s:c>
      <s:c r="E13" s="151">
        <s:f ca="1">ROUND($P13/8,0)</s:f>
        <s:v>0</s:v>
      </s:c>
      <s:c r="F13" s="151">
        <s:f ca="1">ROUND($P13/8,0)</s:f>
        <s:v>0</s:v>
      </s:c>
      <s:c r="G13" s="151">
        <s:f ca="1">ROUND($P13/8,0)</s:f>
        <s:v>0</s:v>
      </s:c>
      <s:c r="H13" s="151">
        <s:f ca="1">ROUND($P13/8,0)</s:f>
        <s:v>0</s:v>
      </s:c>
      <s:c r="I13" s="151">
        <s:f ca="1">ROUND($P13/8,0)</s:f>
        <s:v>0</s:v>
      </s:c>
      <s:c r="J13" s="151">
        <s:f ca="1">ROUND($P13/8,0)</s:f>
        <s:v>0</s:v>
      </s:c>
      <s:c r="K13" s="151"/>
      <s:c r="L13" s="151"/>
      <s:c r="M13" s="151"/>
      <s:c r="N13" s="152"/>
      <s:c r="O13" s="153">
        <s:f ca="1">SUM(C13:N13)</s:f>
        <s:v>0</s:v>
      </s:c>
      <s:c r="P13" s="154">
        <s:f ca="1">IFERROR(SUMIF(p_dt_c_person,A13,p_dt_c_eff),0)</s:f>
        <s:v>0</s:v>
      </s:c>
    </s:row>
    <s:row r="14">
      <s:c r="A14" s="149"/>
      <s:c r="B14" s="150">
        <s:f ca="1">IFERROR(VLOOKUP(A14,r_dt_team,4, FALSE),0)</s:f>
        <s:v>0</s:v>
      </s:c>
      <s:c r="C14" s="570">
        <s:f ca="1">P14-SUM(D14:J14)</s:f>
        <s:v>0</s:v>
      </s:c>
      <s:c r="D14" s="151">
        <s:f ca="1">ROUND($P14/8,0)</s:f>
        <s:v>0</s:v>
      </s:c>
      <s:c r="E14" s="151">
        <s:f ca="1">ROUND($P14/8,0)</s:f>
        <s:v>0</s:v>
      </s:c>
      <s:c r="F14" s="151">
        <s:f ca="1">ROUND($P14/8,0)</s:f>
        <s:v>0</s:v>
      </s:c>
      <s:c r="G14" s="151">
        <s:f ca="1">ROUND($P14/8,0)</s:f>
        <s:v>0</s:v>
      </s:c>
      <s:c r="H14" s="151">
        <s:f ca="1">ROUND($P14/8,0)</s:f>
        <s:v>0</s:v>
      </s:c>
      <s:c r="I14" s="151">
        <s:f ca="1">ROUND($P14/8,0)</s:f>
        <s:v>0</s:v>
      </s:c>
      <s:c r="J14" s="151">
        <s:f ca="1">ROUND($P14/8,0)</s:f>
        <s:v>0</s:v>
      </s:c>
      <s:c r="K14" s="151"/>
      <s:c r="L14" s="151"/>
      <s:c r="M14" s="151"/>
      <s:c r="N14" s="152"/>
      <s:c r="O14" s="153">
        <s:f ca="1">SUM(C14:N14)</s:f>
        <s:v>0</s:v>
      </s:c>
      <s:c r="P14" s="154">
        <s:f ca="1">IFERROR(SUMIF(p_dt_c_person,A14,p_dt_c_eff),0)</s:f>
        <s:v>0</s:v>
      </s:c>
    </s:row>
    <s:row r="15">
      <s:c r="A15" s="149"/>
      <s:c r="B15" s="150">
        <s:f ca="1">IFERROR(VLOOKUP(A15,r_dt_team,4, FALSE),0)</s:f>
        <s:v>0</s:v>
      </s:c>
      <s:c r="C15" s="570">
        <s:f ca="1">P15-SUM(D15:J15)</s:f>
        <s:v>0</s:v>
      </s:c>
      <s:c r="D15" s="151">
        <s:f ca="1">ROUND($P15/8,0)</s:f>
        <s:v>0</s:v>
      </s:c>
      <s:c r="E15" s="151">
        <s:f ca="1">ROUND($P15/8,0)</s:f>
        <s:v>0</s:v>
      </s:c>
      <s:c r="F15" s="151">
        <s:f ca="1">ROUND($P15/8,0)</s:f>
        <s:v>0</s:v>
      </s:c>
      <s:c r="G15" s="151">
        <s:f ca="1">ROUND($P15/8,0)</s:f>
        <s:v>0</s:v>
      </s:c>
      <s:c r="H15" s="151">
        <s:f ca="1">ROUND($P15/8,0)</s:f>
        <s:v>0</s:v>
      </s:c>
      <s:c r="I15" s="151">
        <s:f ca="1">ROUND($P15/8,0)</s:f>
        <s:v>0</s:v>
      </s:c>
      <s:c r="J15" s="151">
        <s:f ca="1">ROUND($P15/8,0)</s:f>
        <s:v>0</s:v>
      </s:c>
      <s:c r="K15" s="151"/>
      <s:c r="L15" s="151"/>
      <s:c r="M15" s="151"/>
      <s:c r="N15" s="152"/>
      <s:c r="O15" s="153">
        <s:f ca="1">SUM(C15:N15)</s:f>
        <s:v>0</s:v>
      </s:c>
      <s:c r="P15" s="154">
        <s:f ca="1">IFERROR(SUMIF(p_dt_c_person,A15,p_dt_c_eff),0)</s:f>
        <s:v>0</s:v>
      </s:c>
    </s:row>
    <s:row r="16">
      <s:c r="A16" s="149"/>
      <s:c r="B16" s="150">
        <s:f ca="1">IFERROR(VLOOKUP(A16,r_dt_team,4, FALSE),0)</s:f>
        <s:v>0</s:v>
      </s:c>
      <s:c r="C16" s="570">
        <s:f ca="1">P16-SUM(D16:J16)</s:f>
        <s:v>0</s:v>
      </s:c>
      <s:c r="D16" s="151">
        <s:f ca="1">ROUND($P16/8,0)</s:f>
        <s:v>0</s:v>
      </s:c>
      <s:c r="E16" s="151">
        <s:f ca="1">ROUND($P16/8,0)</s:f>
        <s:v>0</s:v>
      </s:c>
      <s:c r="F16" s="151">
        <s:f ca="1">ROUND($P16/8,0)</s:f>
        <s:v>0</s:v>
      </s:c>
      <s:c r="G16" s="151">
        <s:f ca="1">ROUND($P16/8,0)</s:f>
        <s:v>0</s:v>
      </s:c>
      <s:c r="H16" s="151">
        <s:f ca="1">ROUND($P16/8,0)</s:f>
        <s:v>0</s:v>
      </s:c>
      <s:c r="I16" s="151">
        <s:f ca="1">ROUND($P16/8,0)</s:f>
        <s:v>0</s:v>
      </s:c>
      <s:c r="J16" s="151">
        <s:f ca="1">ROUND($P16/8,0)</s:f>
        <s:v>0</s:v>
      </s:c>
      <s:c r="K16" s="151"/>
      <s:c r="L16" s="151"/>
      <s:c r="M16" s="151"/>
      <s:c r="N16" s="152"/>
      <s:c r="O16" s="153">
        <s:f ca="1">SUM(C16:N16)</s:f>
        <s:v>0</s:v>
      </s:c>
      <s:c r="P16" s="154">
        <s:f ca="1">IFERROR(SUMIF(p_dt_c_person,A16,p_dt_c_eff),0)</s:f>
        <s:v>0</s:v>
      </s:c>
    </s:row>
    <s:row r="17">
      <s:c r="A17" s="149"/>
      <s:c r="B17" s="150">
        <s:f ca="1">IFERROR(VLOOKUP(A17,r_dt_team,4, FALSE),0)</s:f>
        <s:v>0</s:v>
      </s:c>
      <s:c r="C17" s="570">
        <s:f ca="1">P17-SUM(D17:J17)</s:f>
        <s:v>0</s:v>
      </s:c>
      <s:c r="D17" s="151">
        <s:f ca="1">ROUND($P17/8,0)</s:f>
        <s:v>0</s:v>
      </s:c>
      <s:c r="E17" s="151">
        <s:f ca="1">ROUND($P17/8,0)</s:f>
        <s:v>0</s:v>
      </s:c>
      <s:c r="F17" s="151">
        <s:f ca="1">ROUND($P17/8,0)</s:f>
        <s:v>0</s:v>
      </s:c>
      <s:c r="G17" s="151">
        <s:f ca="1">ROUND($P17/8,0)</s:f>
        <s:v>0</s:v>
      </s:c>
      <s:c r="H17" s="151">
        <s:f ca="1">ROUND($P17/8,0)</s:f>
        <s:v>0</s:v>
      </s:c>
      <s:c r="I17" s="151">
        <s:f ca="1">ROUND($P17/8,0)</s:f>
        <s:v>0</s:v>
      </s:c>
      <s:c r="J17" s="151">
        <s:f ca="1">ROUND($P17/8,0)</s:f>
        <s:v>0</s:v>
      </s:c>
      <s:c r="K17" s="151"/>
      <s:c r="L17" s="151"/>
      <s:c r="M17" s="151"/>
      <s:c r="N17" s="152"/>
      <s:c r="O17" s="153">
        <s:f ca="1">SUM(C17:N17)</s:f>
        <s:v>0</s:v>
      </s:c>
      <s:c r="P17" s="154">
        <s:f ca="1">IFERROR(SUMIF(p_dt_c_person,A17,p_dt_c_eff),0)</s:f>
        <s:v>0</s:v>
      </s:c>
    </s:row>
    <s:row r="18">
      <s:c r="A18" s="149"/>
      <s:c r="B18" s="150">
        <s:f ca="1">IFERROR(VLOOKUP(A18,r_dt_team,4, FALSE),0)</s:f>
        <s:v>0</s:v>
      </s:c>
      <s:c r="C18" s="570">
        <s:f ca="1">P18-SUM(D18:J18)</s:f>
        <s:v>0</s:v>
      </s:c>
      <s:c r="D18" s="151">
        <s:f ca="1">ROUND($P18/8,0)</s:f>
        <s:v>0</s:v>
      </s:c>
      <s:c r="E18" s="151">
        <s:f ca="1">ROUND($P18/8,0)</s:f>
        <s:v>0</s:v>
      </s:c>
      <s:c r="F18" s="151">
        <s:f ca="1">ROUND($P18/8,0)</s:f>
        <s:v>0</s:v>
      </s:c>
      <s:c r="G18" s="151">
        <s:f ca="1">ROUND($P18/8,0)</s:f>
        <s:v>0</s:v>
      </s:c>
      <s:c r="H18" s="151">
        <s:f ca="1">ROUND($P18/8,0)</s:f>
        <s:v>0</s:v>
      </s:c>
      <s:c r="I18" s="151">
        <s:f ca="1">ROUND($P18/8,0)</s:f>
        <s:v>0</s:v>
      </s:c>
      <s:c r="J18" s="151">
        <s:f ca="1">ROUND($P18/8,0)</s:f>
        <s:v>0</s:v>
      </s:c>
      <s:c r="K18" s="151"/>
      <s:c r="L18" s="151"/>
      <s:c r="M18" s="151"/>
      <s:c r="N18" s="152"/>
      <s:c r="O18" s="153">
        <s:f ca="1">SUM(C18:N18)</s:f>
        <s:v>0</s:v>
      </s:c>
      <s:c r="P18" s="154">
        <s:f ca="1">IFERROR(SUMIF(p_dt_c_person,A18,p_dt_c_eff),0)</s:f>
        <s:v>0</s:v>
      </s:c>
    </s:row>
    <s:row r="19" spans="1:16" ht="13.8" thickBot="1"/>
    <s:row r="20">
      <s:c r="A20" s="130" t="s">
        <s:v>385</s:v>
      </s:c>
      <s:c r="B20" s="577">
        <s:v>8</s:v>
      </s:c>
    </s:row>
    <s:row r="22">
      <s:c r="A22" t="s">
        <s:v>384</s:v>
      </s:c>
    </s:row>
    <s:row r="23">
      <s:c r="A23" s="575">
        <s:f>A7</s:f>
        <s:v>0</s:v>
      </s:c>
      <s:c r="C23" s="576">
        <s:f ca="1">C7/21</s:f>
        <s:v>0</s:v>
      </s:c>
      <s:c r="D23" s="576">
        <s:f ca="1">D7/21</s:f>
        <s:v>0</s:v>
      </s:c>
      <s:c r="E23" s="576">
        <s:f ca="1">E7/21</s:f>
        <s:v>0</s:v>
      </s:c>
      <s:c r="F23" s="576">
        <s:f ca="1">F7/21</s:f>
        <s:v>0</s:v>
      </s:c>
      <s:c r="G23" s="576">
        <s:f ca="1">G7/21</s:f>
        <s:v>0</s:v>
      </s:c>
      <s:c r="H23" s="576">
        <s:f ca="1">H7/21</s:f>
        <s:v>0</s:v>
      </s:c>
      <s:c r="I23" s="576">
        <s:f ca="1">I7/21</s:f>
        <s:v>0</s:v>
      </s:c>
      <s:c r="J23" s="576">
        <s:f ca="1">J7/21</s:f>
        <s:v>0</s:v>
      </s:c>
    </s:row>
    <s:row r="24">
      <s:c r="A24" s="575">
        <s:f>A8</s:f>
        <s:v>0</s:v>
      </s:c>
      <s:c r="C24" s="576">
        <s:f ca="1">C8/21</s:f>
        <s:v>0</s:v>
      </s:c>
      <s:c r="D24" s="576">
        <s:f ca="1">D8/21</s:f>
        <s:v>0</s:v>
      </s:c>
      <s:c r="E24" s="576">
        <s:f ca="1">E8/21</s:f>
        <s:v>0</s:v>
      </s:c>
      <s:c r="F24" s="576">
        <s:f ca="1">F8/21</s:f>
        <s:v>0</s:v>
      </s:c>
      <s:c r="G24" s="576">
        <s:f ca="1">G8/21</s:f>
        <s:v>0</s:v>
      </s:c>
      <s:c r="H24" s="576">
        <s:f ca="1">H8/21</s:f>
        <s:v>0</s:v>
      </s:c>
      <s:c r="I24" s="576">
        <s:f ca="1">I8/21</s:f>
        <s:v>0</s:v>
      </s:c>
      <s:c r="J24" s="576">
        <s:f ca="1">J8/21</s:f>
        <s:v>0</s:v>
      </s:c>
    </s:row>
    <s:row r="25">
      <s:c r="A25" s="575">
        <s:f>A9</s:f>
        <s:v>0</s:v>
      </s:c>
      <s:c r="C25" s="576">
        <s:f ca="1">C9/21</s:f>
        <s:v>0</s:v>
      </s:c>
      <s:c r="D25" s="576">
        <s:f ca="1">D9/21</s:f>
        <s:v>0</s:v>
      </s:c>
      <s:c r="E25" s="576">
        <s:f ca="1">E9/21</s:f>
        <s:v>0</s:v>
      </s:c>
      <s:c r="F25" s="576">
        <s:f ca="1">F9/21</s:f>
        <s:v>0</s:v>
      </s:c>
      <s:c r="G25" s="576">
        <s:f ca="1">G9/21</s:f>
        <s:v>0</s:v>
      </s:c>
      <s:c r="H25" s="576">
        <s:f ca="1">H9/21</s:f>
        <s:v>0</s:v>
      </s:c>
      <s:c r="I25" s="576">
        <s:f ca="1">I9/21</s:f>
        <s:v>0</s:v>
      </s:c>
      <s:c r="J25" s="576">
        <s:f ca="1">J9/21</s:f>
        <s:v>0</s:v>
      </s:c>
    </s:row>
    <s:row r="26">
      <s:c r="A26" s="575">
        <s:f>A10</s:f>
        <s:v>0</s:v>
      </s:c>
      <s:c r="C26" s="576">
        <s:f ca="1">C10/21</s:f>
        <s:v>0</s:v>
      </s:c>
      <s:c r="D26" s="576">
        <s:f ca="1">D10/21</s:f>
        <s:v>0</s:v>
      </s:c>
      <s:c r="E26" s="576">
        <s:f ca="1">E10/21</s:f>
        <s:v>0</s:v>
      </s:c>
      <s:c r="F26" s="576">
        <s:f ca="1">F10/21</s:f>
        <s:v>0</s:v>
      </s:c>
      <s:c r="G26" s="576">
        <s:f ca="1">G10/21</s:f>
        <s:v>0</s:v>
      </s:c>
      <s:c r="H26" s="576">
        <s:f ca="1">H10/21</s:f>
        <s:v>0</s:v>
      </s:c>
      <s:c r="I26" s="576">
        <s:f ca="1">I10/21</s:f>
        <s:v>0</s:v>
      </s:c>
      <s:c r="J26" s="576">
        <s:f ca="1">J10/21</s:f>
        <s:v>0</s:v>
      </s:c>
    </s:row>
    <s:row r="27">
      <s:c r="A27" s="575">
        <s:f>A11</s:f>
        <s:v>0</s:v>
      </s:c>
      <s:c r="C27" s="576">
        <s:f ca="1">C11/21</s:f>
        <s:v>0</s:v>
      </s:c>
      <s:c r="D27" s="576">
        <s:f ca="1">D11/21</s:f>
        <s:v>0</s:v>
      </s:c>
      <s:c r="E27" s="576">
        <s:f ca="1">E11/21</s:f>
        <s:v>0</s:v>
      </s:c>
      <s:c r="F27" s="576">
        <s:f ca="1">F11/21</s:f>
        <s:v>0</s:v>
      </s:c>
      <s:c r="G27" s="576">
        <s:f ca="1">G11/21</s:f>
        <s:v>0</s:v>
      </s:c>
      <s:c r="H27" s="576">
        <s:f ca="1">H11/21</s:f>
        <s:v>0</s:v>
      </s:c>
      <s:c r="I27" s="576">
        <s:f ca="1">I11/21</s:f>
        <s:v>0</s:v>
      </s:c>
      <s:c r="J27" s="576">
        <s:f ca="1">J11/21</s:f>
        <s:v>0</s:v>
      </s:c>
    </s:row>
    <s:row r="28">
      <s:c r="A28" s="575">
        <s:f>A12</s:f>
        <s:v>0</s:v>
      </s:c>
      <s:c r="C28" s="576">
        <s:f ca="1">C12/21</s:f>
        <s:v>0</s:v>
      </s:c>
      <s:c r="D28" s="576">
        <s:f ca="1">D12/21</s:f>
        <s:v>0</s:v>
      </s:c>
      <s:c r="E28" s="576">
        <s:f ca="1">E12/21</s:f>
        <s:v>0</s:v>
      </s:c>
      <s:c r="F28" s="576">
        <s:f ca="1">F12/21</s:f>
        <s:v>0</s:v>
      </s:c>
      <s:c r="G28" s="576">
        <s:f ca="1">G12/21</s:f>
        <s:v>0</s:v>
      </s:c>
      <s:c r="H28" s="576">
        <s:f ca="1">H12/21</s:f>
        <s:v>0</s:v>
      </s:c>
      <s:c r="I28" s="576">
        <s:f ca="1">I12/21</s:f>
        <s:v>0</s:v>
      </s:c>
      <s:c r="J28" s="576">
        <s:f ca="1">J12/21</s:f>
        <s:v>0</s:v>
      </s:c>
    </s:row>
    <s:row r="29">
      <s:c r="A29" s="575">
        <s:f>A13</s:f>
        <s:v>0</s:v>
      </s:c>
      <s:c r="C29" s="576">
        <s:f ca="1">C13/21</s:f>
        <s:v>0</s:v>
      </s:c>
      <s:c r="D29" s="576">
        <s:f ca="1">D13/21</s:f>
        <s:v>0</s:v>
      </s:c>
      <s:c r="E29" s="576">
        <s:f ca="1">E13/21</s:f>
        <s:v>0</s:v>
      </s:c>
      <s:c r="F29" s="576">
        <s:f ca="1">F13/21</s:f>
        <s:v>0</s:v>
      </s:c>
      <s:c r="G29" s="576">
        <s:f ca="1">G13/21</s:f>
        <s:v>0</s:v>
      </s:c>
      <s:c r="H29" s="576">
        <s:f ca="1">H13/21</s:f>
        <s:v>0</s:v>
      </s:c>
      <s:c r="I29" s="576">
        <s:f ca="1">I13/21</s:f>
        <s:v>0</s:v>
      </s:c>
      <s:c r="J29" s="576">
        <s:f ca="1">J13/21</s:f>
        <s:v>0</s:v>
      </s:c>
    </s:row>
    <s:row r="30">
      <s:c r="A30" s="575">
        <s:f>A14</s:f>
        <s:v>0</s:v>
      </s:c>
      <s:c r="C30" s="576">
        <s:f ca="1">C14/21</s:f>
        <s:v>0</s:v>
      </s:c>
      <s:c r="D30" s="576">
        <s:f ca="1">D14/21</s:f>
        <s:v>0</s:v>
      </s:c>
      <s:c r="E30" s="576">
        <s:f ca="1">E14/21</s:f>
        <s:v>0</s:v>
      </s:c>
      <s:c r="F30" s="576">
        <s:f ca="1">F14/21</s:f>
        <s:v>0</s:v>
      </s:c>
      <s:c r="G30" s="576">
        <s:f ca="1">G14/21</s:f>
        <s:v>0</s:v>
      </s:c>
      <s:c r="H30" s="576">
        <s:f ca="1">H14/21</s:f>
        <s:v>0</s:v>
      </s:c>
      <s:c r="I30" s="576">
        <s:f ca="1">I14/21</s:f>
        <s:v>0</s:v>
      </s:c>
      <s:c r="J30" s="576">
        <s:f ca="1">J14/21</s:f>
        <s:v>0</s:v>
      </s:c>
    </s:row>
    <s:row r="31">
      <s:c r="A31" s="575">
        <s:f>A15</s:f>
        <s:v>0</s:v>
      </s:c>
      <s:c r="C31" s="576">
        <s:f ca="1">C15/21</s:f>
        <s:v>0</s:v>
      </s:c>
      <s:c r="D31" s="576">
        <s:f ca="1">D15/21</s:f>
        <s:v>0</s:v>
      </s:c>
      <s:c r="E31" s="576">
        <s:f ca="1">E15/21</s:f>
        <s:v>0</s:v>
      </s:c>
      <s:c r="F31" s="576">
        <s:f ca="1">F15/21</s:f>
        <s:v>0</s:v>
      </s:c>
      <s:c r="G31" s="576">
        <s:f ca="1">G15/21</s:f>
        <s:v>0</s:v>
      </s:c>
      <s:c r="H31" s="576">
        <s:f ca="1">H15/21</s:f>
        <s:v>0</s:v>
      </s:c>
      <s:c r="I31" s="576">
        <s:f ca="1">I15/21</s:f>
        <s:v>0</s:v>
      </s:c>
      <s:c r="J31" s="576">
        <s:f ca="1">J15/21</s:f>
        <s:v>0</s:v>
      </s:c>
    </s:row>
    <s:row r="32">
      <s:c r="A32" s="575">
        <s:f>A16</s:f>
        <s:v>0</s:v>
      </s:c>
      <s:c r="C32" s="576">
        <s:f ca="1">C16/21</s:f>
        <s:v>0</s:v>
      </s:c>
      <s:c r="D32" s="576">
        <s:f ca="1">D16/21</s:f>
        <s:v>0</s:v>
      </s:c>
      <s:c r="E32" s="576">
        <s:f ca="1">E16/21</s:f>
        <s:v>0</s:v>
      </s:c>
      <s:c r="F32" s="576">
        <s:f ca="1">F16/21</s:f>
        <s:v>0</s:v>
      </s:c>
      <s:c r="G32" s="576">
        <s:f ca="1">G16/21</s:f>
        <s:v>0</s:v>
      </s:c>
      <s:c r="H32" s="576">
        <s:f ca="1">H16/21</s:f>
        <s:v>0</s:v>
      </s:c>
      <s:c r="I32" s="576">
        <s:f ca="1">I16/21</s:f>
        <s:v>0</s:v>
      </s:c>
      <s:c r="J32" s="576">
        <s:f ca="1">J16/21</s:f>
        <s:v>0</s:v>
      </s:c>
    </s:row>
    <s:row r="33">
      <s:c r="A33" s="575">
        <s:f>A17</s:f>
        <s:v>0</s:v>
      </s:c>
      <s:c r="C33" s="576">
        <s:f ca="1">C17/21</s:f>
        <s:v>0</s:v>
      </s:c>
      <s:c r="D33" s="576">
        <s:f ca="1">D17/21</s:f>
        <s:v>0</s:v>
      </s:c>
      <s:c r="E33" s="576">
        <s:f ca="1">E17/21</s:f>
        <s:v>0</s:v>
      </s:c>
      <s:c r="F33" s="576">
        <s:f ca="1">F17/21</s:f>
        <s:v>0</s:v>
      </s:c>
      <s:c r="G33" s="576">
        <s:f ca="1">G17/21</s:f>
        <s:v>0</s:v>
      </s:c>
      <s:c r="H33" s="576">
        <s:f ca="1">H17/21</s:f>
        <s:v>0</s:v>
      </s:c>
      <s:c r="I33" s="576">
        <s:f ca="1">I17/21</s:f>
        <s:v>0</s:v>
      </s:c>
      <s:c r="J33" s="576">
        <s:f ca="1">J17/21</s:f>
        <s:v>0</s:v>
      </s:c>
    </s:row>
    <s:row r="34">
      <s:c r="A34" s="575">
        <s:f>A18</s:f>
        <s:v>0</s:v>
      </s:c>
      <s:c r="C34" s="576">
        <s:f ca="1">C18/21</s:f>
        <s:v>0</s:v>
      </s:c>
      <s:c r="D34" s="576">
        <s:f ca="1">D18/21</s:f>
        <s:v>0</s:v>
      </s:c>
      <s:c r="E34" s="576">
        <s:f ca="1">E18/21</s:f>
        <s:v>0</s:v>
      </s:c>
      <s:c r="F34" s="576">
        <s:f ca="1">F18/21</s:f>
        <s:v>0</s:v>
      </s:c>
      <s:c r="G34" s="576">
        <s:f ca="1">G18/21</s:f>
        <s:v>0</s:v>
      </s:c>
      <s:c r="H34" s="576">
        <s:f ca="1">H18/21</s:f>
        <s:v>0</s:v>
      </s:c>
      <s:c r="I34" s="576">
        <s:f ca="1">I18/21</s:f>
        <s:v>0</s:v>
      </s:c>
      <s:c r="J34" s="576">
        <s:f ca="1">J18/21</s:f>
        <s:v>0</s:v>
      </s:c>
    </s:row>
  </s:sheetData>
  <s:mergeCells count="6">
    <s:mergeCell ref="C6:N6"/>
    <s:mergeCell ref="A1:B1"/>
    <s:mergeCell ref="A2:B2"/>
    <s:mergeCell ref="A3:B3"/>
    <s:mergeCell ref="A4:B4"/>
    <s:mergeCell ref="A5:B5"/>
  </s:mergeCells>
  <s:conditionalFormatting sqref="O2:O7 O13:O18">
    <s:cfRule type="cellIs" dxfId="17" priority="4" operator="greaterThan">
      <s:formula>$P2</s:formula>
    </s:cfRule>
  </s:conditionalFormatting>
  <s:conditionalFormatting sqref="O8:O12">
    <s:cfRule type="cellIs" dxfId="16" priority="3" operator="greaterThan">
      <s:formula>$P8</s:formula>
    </s:cfRule>
  </s:conditionalFormatting>
  <s:conditionalFormatting sqref="C1:N1">
    <s:cfRule type="cellIs" dxfId="8" priority="5" stopIfTrue="1" operator="lessThan">
      <s:formula>ОПУ!$B$1</s:formula>
    </s:cfRule>
    <s:cfRule type="cellIs" dxfId="7" priority="6" stopIfTrue="1" operator="greaterThanOrEqual">
      <s:formula>ОПУ!$B$1</s:formula>
    </s:cfRule>
  </s:conditionalFormatting>
  <s:conditionalFormatting sqref="A20">
    <s:cfRule type="cellIs" dxfId="8" priority="1" stopIfTrue="1" operator="lessThan">
      <s:formula>ОПУ!$B$1</s:formula>
    </s:cfRule>
    <s:cfRule type="cellIs" dxfId="7" priority="2" stopIfTrue="1" operator="greaterThanOrEqual">
      <s:formula>ОПУ!$B$1</s:formula>
    </s:cfRule>
  </s:conditionalFormatting>
  <s:dataValidations count="1">
    <s:dataValidation xr:uid="{0007000C-00A1-410B-8C3C-008900EB0050}" type="list" allowBlank="1" showInputMessage="1" showErrorMessage="1" sqref="A7:A18" vyd:viewType="arrow" mc:Ignorable="vyd">
      <s:formula1>r_role</s:formula1>
    </s:dataValidation>
  </s:dataValidations>
  <s:pageMargins left="0.7" right="0.7" top="0.75" bottom="0.75" header="0.3" footer="0.3"/>
  <s:pageSetup paperSize="9" orientation="portrait"/>
</s:worksheet>
</file>

<file path=xl/worksheets/sheet9.xml><?xml version="1.0" encoding="utf-8"?>
<s:worksheet xmlns:mc="http://schemas.openxmlformats.org/markup-compatibility/2006" xmlns:xr3="http://schemas.microsoft.com/office/spreadsheetml/2016/revision3" xmlns:s="http://schemas.openxmlformats.org/spreadsheetml/2006/main" xmlns:xr2="http://schemas.microsoft.com/office/spreadsheetml/2015/revision2" xmlns:x14ac="http://schemas.microsoft.com/office/spreadsheetml/2009/9/ac" xmlns:vyd="http://volga.yandex.com/schemas/document/model" xmlns:xr="http://schemas.microsoft.com/office/spreadsheetml/2014/revision" mc:Ignorable="x14ac xr xr2 xr3" xr:uid="{00000000-0001-0000-0300-000000000000}">
  <s:sheetPr codeName="Sheet4">
    <s:outlinePr summaryBelow="0" summaryRight="0"/>
  </s:sheetPr>
  <s:dimension ref="A1:T42"/>
  <s:sheetViews>
    <s:sheetView showGridLines="0" tabSelected="0" zoomScale="80" zoomScaleNormal="80" workbookViewId="0">
      <s:pane xSplit="4" ySplit="4" topLeftCell="E5" activePane="bottomRight" state="frozen"/>
      <s:selection activeCell="B1" sqref="B1"/>
      <s:selection pane="topRight"/>
      <s:selection pane="bottomLeft"/>
      <s:selection pane="bottomRight" activeCell="B1" sqref="B1"/>
    </s:sheetView>
  </s:sheetViews>
  <s:sheetFormatPr defaultColWidth="9.109" defaultRowHeight="10.2" outlineLevelRow="2"/>
  <s:cols>
    <s:col min="1" max="1" width="29.441" style="155" customWidth="1"/>
    <s:col min="2" max="2" width="12.109" style="155" customWidth="1"/>
    <s:col min="3" max="3" width="13" style="155" customWidth="1"/>
    <s:col min="4" max="4" width="14.777" style="155" customWidth="1"/>
    <s:col min="5" max="10" width="15.777" style="155" bestFit="1" customWidth="1"/>
    <s:col min="11" max="13" width="15" style="155" bestFit="1" customWidth="1"/>
    <s:col min="14" max="16" width="15.777" style="155" bestFit="1" customWidth="1"/>
    <s:col min="17" max="17" width="13.441" style="155" customWidth="1"/>
    <s:col min="18" max="18" width="12.777" style="155" customWidth="1"/>
    <s:col min="19" max="19" width="13.109" style="155" bestFit="1" customWidth="1"/>
    <s:col min="20" max="20" width="13.441" style="155" customWidth="1"/>
    <s:col min="21" max="16384" width="9.109" style="155"/>
  </s:cols>
  <s:sheetData>
    <s:row r="1" ht="20.4">
      <s:c r="A1" s="156" t="s">
        <s:v>95</s:v>
      </s:c>
      <s:c r="B1" s="157">
        <s:f>'Ставки и расходы'!D6</s:f>
        <s:v>0</s:v>
      </s:c>
      <s:c r="C1" s="158" t="s">
        <s:v>96</s:v>
      </s:c>
      <s:c r="D1" s="159">
        <s:v>1</s:v>
      </s:c>
    </s:row>
    <s:row r="2" spans="1:20" ht="6" customHeight="1"/>
    <s:row r="3" spans="1:20" s="160" customFormat="1" ht="20.4">
      <s:c r="A3" s="161"/>
      <s:c r="B3" s="162" t="s">
        <s:v>97</s:v>
      </s:c>
      <s:c r="C3" s="162" t="s">
        <s:v>98</s:v>
      </s:c>
      <s:c r="D3" s="163" t="s">
        <s:v>99</s:v>
      </s:c>
      <s:c r="E3" s="164">
        <s:f>DATEVALUE("01/01/"&amp;YEAR(ОПУ!B1))</s:f>
        <s:v>1</s:v>
      </s:c>
      <s:c r="F3" s="165">
        <s:f>EDATE(E3,1)</s:f>
        <s:v>32</s:v>
      </s:c>
      <s:c r="G3" s="165">
        <s:f>EDATE(F3,1)</s:f>
        <s:v>61</s:v>
      </s:c>
      <s:c r="H3" s="165">
        <s:f>EDATE(G3,1)</s:f>
        <s:v>92</s:v>
      </s:c>
      <s:c r="I3" s="165">
        <s:f>EDATE(H3,1)</s:f>
        <s:v>122</s:v>
      </s:c>
      <s:c r="J3" s="165">
        <s:f>EDATE(I3,1)</s:f>
        <s:v>153</s:v>
      </s:c>
      <s:c r="K3" s="165">
        <s:f>EDATE(J3,1)</s:f>
        <s:v>183</s:v>
      </s:c>
      <s:c r="L3" s="165">
        <s:f>EDATE(K3,1)</s:f>
        <s:v>214</s:v>
      </s:c>
      <s:c r="M3" s="165">
        <s:f>EDATE(L3,1)</s:f>
        <s:v>245</s:v>
      </s:c>
      <s:c r="N3" s="165">
        <s:f>EDATE(M3,1)</s:f>
        <s:v>275</s:v>
      </s:c>
      <s:c r="O3" s="165">
        <s:f>EDATE(N3,1)</s:f>
        <s:v>306</s:v>
      </s:c>
      <s:c r="P3" s="166">
        <s:f>EDATE(O3,1)</s:f>
        <s:v>336</s:v>
      </s:c>
      <s:c r="Q3" s="161" t="s">
        <s:v>100</s:v>
      </s:c>
      <s:c r="R3" s="162" t="s">
        <s:v>101</s:v>
      </s:c>
      <s:c r="S3" s="162" t="s">
        <s:v>102</s:v>
      </s:c>
      <s:c r="T3" s="167" t="s">
        <s:v>103</s:v>
      </s:c>
    </s:row>
    <s:row r="4" spans="1:20" s="160" customFormat="1" ht="15" customHeight="1">
      <s:c r="A4" s="168" t="s">
        <s:v>104</s:v>
      </s:c>
      <s:c r="B4" s="169"/>
      <s:c r="C4" s="169"/>
      <s:c r="D4" s="170"/>
      <s:c r="E4" s="171" t="s">
        <s:v>32</s:v>
      </s:c>
      <s:c r="F4" s="171" t="s">
        <s:v>32</s:v>
      </s:c>
      <s:c r="G4" s="171" t="s">
        <s:v>32</s:v>
      </s:c>
      <s:c r="H4" s="171" t="s">
        <s:v>33</s:v>
      </s:c>
      <s:c r="I4" s="171"/>
      <s:c r="J4" s="171"/>
      <s:c r="K4" s="171"/>
      <s:c r="L4" s="171"/>
      <s:c r="M4" s="171"/>
      <s:c r="N4" s="171"/>
      <s:c r="O4" s="171"/>
      <s:c r="P4" s="171"/>
      <s:c r="Q4" s="172"/>
      <s:c r="R4" s="173"/>
      <s:c r="S4" s="173"/>
      <s:c r="T4" s="174"/>
    </s:row>
    <s:row r="5" spans="1:20" s="175" customFormat="1" ht="13.2">
      <s:c r="A5" s="176" t="s">
        <s:v>105</s:v>
      </s:c>
      <s:c r="B5" s="177"/>
      <s:c r="C5" s="177"/>
      <s:c r="D5" s="134"/>
      <s:c r="E5" s="178"/>
      <s:c r="F5" s="179"/>
      <s:c r="G5" s="179"/>
      <s:c r="H5" s="179"/>
      <s:c r="I5" s="179"/>
      <s:c r="J5" s="179"/>
      <s:c r="K5" s="179"/>
      <s:c r="L5" s="179"/>
      <s:c r="M5" s="179"/>
      <s:c r="N5" s="179"/>
      <s:c r="O5" s="179"/>
      <s:c r="P5" s="180"/>
      <s:c r="Q5" s="181"/>
      <s:c r="R5" s="179"/>
      <s:c r="S5" s="179"/>
      <s:c r="T5" s="182"/>
    </s:row>
    <s:row r="6" spans="1:20" s="183" customFormat="1" ht="13.5" customHeight="1" outlineLevel="1">
      <s:c r="A6" s="184" t="s">
        <s:v>106</s:v>
      </s:c>
      <s:c r="B6" s="185"/>
      <s:c r="C6" s="185"/>
      <s:c r="D6" s="186"/>
      <s:c r="E6" s="187">
        <s:v>1</s:v>
      </s:c>
      <s:c r="F6" s="187">
        <s:v>1</s:v>
      </s:c>
      <s:c r="G6" s="187">
        <s:v>1</s:v>
      </s:c>
      <s:c r="H6" s="187">
        <s:v>1</s:v>
      </s:c>
      <s:c r="I6" s="187">
        <s:v>1</s:v>
      </s:c>
      <s:c r="J6" s="187">
        <s:v>1</s:v>
      </s:c>
      <s:c r="K6" s="187">
        <s:v>1</s:v>
      </s:c>
      <s:c r="L6" s="187">
        <s:v>1</s:v>
      </s:c>
      <s:c r="M6" s="187">
        <s:v>1</s:v>
      </s:c>
      <s:c r="N6" s="187">
        <s:v>1</s:v>
      </s:c>
      <s:c r="O6" s="187">
        <s:v>1</s:v>
      </s:c>
      <s:c r="P6" s="187">
        <s:v>1</s:v>
      </s:c>
      <s:c r="Q6" s="188"/>
      <s:c r="R6" s="189"/>
      <s:c r="S6" s="189"/>
      <s:c r="T6" s="190"/>
    </s:row>
    <s:row r="7" spans="1:20" s="183" customFormat="1" ht="13.5" customHeight="1" outlineLevel="1">
      <s:c r="A7" s="184" t="s">
        <s:v>107</s:v>
      </s:c>
      <s:c r="B7" s="185"/>
      <s:c r="C7" s="185"/>
      <s:c r="D7" s="186"/>
      <s:c r="E7" s="187">
        <s:v>1</s:v>
      </s:c>
      <s:c r="F7" s="187">
        <s:v>1</s:v>
      </s:c>
      <s:c r="G7" s="187">
        <s:v>1</s:v>
      </s:c>
      <s:c r="H7" s="187">
        <s:v>1</s:v>
      </s:c>
      <s:c r="I7" s="187">
        <s:v>1</s:v>
      </s:c>
      <s:c r="J7" s="187">
        <s:v>1</s:v>
      </s:c>
      <s:c r="K7" s="187">
        <s:v>1</s:v>
      </s:c>
      <s:c r="L7" s="187">
        <s:v>1</s:v>
      </s:c>
      <s:c r="M7" s="187">
        <s:v>1</s:v>
      </s:c>
      <s:c r="N7" s="187">
        <s:v>1</s:v>
      </s:c>
      <s:c r="O7" s="187">
        <s:v>1</s:v>
      </s:c>
      <s:c r="P7" s="187">
        <s:v>1</s:v>
      </s:c>
      <s:c r="Q7" s="188"/>
      <s:c r="R7" s="189"/>
      <s:c r="S7" s="189"/>
      <s:c r="T7" s="190"/>
    </s:row>
    <s:row r="8" spans="1:20" s="183" customFormat="1" ht="13.5" customHeight="1" outlineLevel="1">
      <s:c r="A8" s="184" t="s">
        <s:v>108</s:v>
      </s:c>
      <s:c r="B8" s="185"/>
      <s:c r="C8" s="185"/>
      <s:c r="D8" s="186"/>
      <s:c r="E8" s="187">
        <s:v>1</s:v>
      </s:c>
      <s:c r="F8" s="187">
        <s:v>1</s:v>
      </s:c>
      <s:c r="G8" s="187">
        <s:v>1</s:v>
      </s:c>
      <s:c r="H8" s="187">
        <s:v>1</s:v>
      </s:c>
      <s:c r="I8" s="187">
        <s:v>1</s:v>
      </s:c>
      <s:c r="J8" s="187">
        <s:v>1</s:v>
      </s:c>
      <s:c r="K8" s="187">
        <s:v>1</s:v>
      </s:c>
      <s:c r="L8" s="187">
        <s:v>1</s:v>
      </s:c>
      <s:c r="M8" s="187">
        <s:v>1</s:v>
      </s:c>
      <s:c r="N8" s="187">
        <s:v>1</s:v>
      </s:c>
      <s:c r="O8" s="187">
        <s:v>1</s:v>
      </s:c>
      <s:c r="P8" s="187">
        <s:v>1</s:v>
      </s:c>
      <s:c r="Q8" s="188"/>
      <s:c r="R8" s="189"/>
      <s:c r="S8" s="189"/>
      <s:c r="T8" s="190"/>
    </s:row>
    <s:row r="9" spans="1:20" s="183" customFormat="1" ht="13.5" customHeight="1" outlineLevel="1">
      <s:c r="A9" s="184" t="s">
        <s:v>109</s:v>
      </s:c>
      <s:c r="B9" s="185"/>
      <s:c r="C9" s="185"/>
      <s:c r="D9" s="186"/>
      <s:c r="E9" s="187">
        <s:v>1</s:v>
      </s:c>
      <s:c r="F9" s="187">
        <s:v>1</s:v>
      </s:c>
      <s:c r="G9" s="187">
        <s:v>1</s:v>
      </s:c>
      <s:c r="H9" s="187">
        <s:v>1</s:v>
      </s:c>
      <s:c r="I9" s="187">
        <s:v>1</s:v>
      </s:c>
      <s:c r="J9" s="187">
        <s:v>1</s:v>
      </s:c>
      <s:c r="K9" s="187">
        <s:v>1</s:v>
      </s:c>
      <s:c r="L9" s="187">
        <s:v>1</s:v>
      </s:c>
      <s:c r="M9" s="187">
        <s:v>1</s:v>
      </s:c>
      <s:c r="N9" s="187">
        <s:v>1</s:v>
      </s:c>
      <s:c r="O9" s="187">
        <s:v>1</s:v>
      </s:c>
      <s:c r="P9" s="187">
        <s:v>1</s:v>
      </s:c>
      <s:c r="Q9" s="188"/>
      <s:c r="R9" s="189"/>
      <s:c r="S9" s="189"/>
      <s:c r="T9" s="190"/>
    </s:row>
    <s:row r="10" spans="1:20" s="183" customFormat="1" ht="13.5" customHeight="1" outlineLevel="1">
      <s:c r="A10" s="184" t="s">
        <s:v>110</s:v>
      </s:c>
      <s:c r="B10" s="185"/>
      <s:c r="C10" s="185"/>
      <s:c r="D10" s="186"/>
      <s:c r="E10" s="187">
        <s:v>1</s:v>
      </s:c>
      <s:c r="F10" s="187">
        <s:v>1</s:v>
      </s:c>
      <s:c r="G10" s="187">
        <s:v>1</s:v>
      </s:c>
      <s:c r="H10" s="187">
        <s:v>1</s:v>
      </s:c>
      <s:c r="I10" s="187">
        <s:v>1</s:v>
      </s:c>
      <s:c r="J10" s="187">
        <s:v>1</s:v>
      </s:c>
      <s:c r="K10" s="187">
        <s:v>1</s:v>
      </s:c>
      <s:c r="L10" s="187">
        <s:v>1</s:v>
      </s:c>
      <s:c r="M10" s="187">
        <s:v>1</s:v>
      </s:c>
      <s:c r="N10" s="187">
        <s:v>1</s:v>
      </s:c>
      <s:c r="O10" s="187">
        <s:v>1</s:v>
      </s:c>
      <s:c r="P10" s="187">
        <s:v>1</s:v>
      </s:c>
      <s:c r="Q10" s="188"/>
      <s:c r="R10" s="189"/>
      <s:c r="S10" s="189"/>
      <s:c r="T10" s="190"/>
    </s:row>
    <s:row r="11" spans="1:20" s="175" customFormat="1" ht="13.2">
      <s:c r="A11" s="191" t="s">
        <s:v>111</s:v>
      </s:c>
      <s:c r="B11" s="192">
        <s:f>B15</s:f>
        <s:v>0</s:v>
      </s:c>
      <s:c r="C11" s="192">
        <s:f>B11+D11</s:f>
        <s:v>0</s:v>
      </s:c>
      <s:c r="D11" s="193">
        <s:f>SUMIFS(E11:P11,$E$3:$P$3,"&lt;" &amp; $B$1)</s:f>
        <s:v>0</s:v>
      </s:c>
      <s:c r="E11" s="194">
        <s:f ca="1">SUM(E12:E14)</s:f>
        <s:v>0</s:v>
      </s:c>
      <s:c r="F11" s="195">
        <s:f ca="1">SUM(F12:F14)</s:f>
        <s:v>0</s:v>
      </s:c>
      <s:c r="G11" s="195">
        <s:f ca="1">SUM(G12:G14)</s:f>
        <s:v>0</s:v>
      </s:c>
      <s:c r="H11" s="195">
        <s:f ca="1">SUM(H12:H14)</s:f>
        <s:v>0</s:v>
      </s:c>
      <s:c r="I11" s="195">
        <s:f>SUM(I12:I14)</s:f>
        <s:v>0</s:v>
      </s:c>
      <s:c r="J11" s="195">
        <s:f>SUM(J12:J14)</s:f>
        <s:v>0</s:v>
      </s:c>
      <s:c r="K11" s="195">
        <s:f>SUM(K12:K14)</s:f>
        <s:v>0</s:v>
      </s:c>
      <s:c r="L11" s="195">
        <s:f>SUM(L12:L14)</s:f>
        <s:v>0</s:v>
      </s:c>
      <s:c r="M11" s="195">
        <s:f>SUM(M12:M14)</s:f>
        <s:v>0</s:v>
      </s:c>
      <s:c r="N11" s="195">
        <s:f>SUM(N12:N14)</s:f>
        <s:v>0</s:v>
      </s:c>
      <s:c r="O11" s="195">
        <s:f>SUM(O12:O14)</s:f>
        <s:v>0</s:v>
      </s:c>
      <s:c r="P11" s="196">
        <s:f>SUM(P12:P14)</s:f>
        <s:v>0</s:v>
      </s:c>
      <s:c r="Q11" s="197">
        <s:f ca="1">SUMIFS(E11:P11,$E$3:$P$3,"&gt;=" &amp; $B$1)</s:f>
        <s:v>0</s:v>
      </s:c>
      <s:c r="R11" s="195">
        <s:f ca="1">Q11+D11</s:f>
        <s:v>0</s:v>
      </s:c>
      <s:c r="S11" s="195">
        <s:f ca="1">Q11+C11</s:f>
        <s:v>0</s:v>
      </s:c>
      <s:c r="T11" s="182"/>
    </s:row>
    <s:row r="12" spans="1:20" s="198" customFormat="1" ht="13.2" outlineLevel="1">
      <s:c r="A12" s="199" t="s">
        <s:v>35</s:v>
      </s:c>
      <s:c r="B12" s="200"/>
      <s:c r="C12" s="200">
        <s:f>B12+D12</s:f>
        <s:v>0</s:v>
      </s:c>
      <s:c r="D12" s="201">
        <s:f>SUMIFS(E12:P12,$E$3:$P$3,"&lt;" &amp; $B$1)</s:f>
        <s:v>0</s:v>
      </s:c>
      <s:c r="E12" s="202">
        <s:f ca="1">E16*E$6*$D$1</s:f>
        <s:v>0</s:v>
      </s:c>
      <s:c r="F12" s="202">
        <s:f ca="1">F16*F$6*$D$1</s:f>
        <s:v>0</s:v>
      </s:c>
      <s:c r="G12" s="202">
        <s:f ca="1">G16*G$6*$D$1</s:f>
        <s:v>0</s:v>
      </s:c>
      <s:c r="H12" s="202">
        <s:f ca="1">H16*H$6*$D$1</s:f>
        <s:v>0</s:v>
      </s:c>
      <s:c r="I12" s="202">
        <s:f>I16*I$6*$D$1</s:f>
        <s:v>0</s:v>
      </s:c>
      <s:c r="J12" s="202">
        <s:f>J16*J$6*$D$1</s:f>
        <s:v>0</s:v>
      </s:c>
      <s:c r="K12" s="202">
        <s:f>K16*K$6*$D$1</s:f>
        <s:v>0</s:v>
      </s:c>
      <s:c r="L12" s="202">
        <s:f>L16*L$6*$D$1</s:f>
        <s:v>0</s:v>
      </s:c>
      <s:c r="M12" s="202">
        <s:f>M16*M$6*$D$1</s:f>
        <s:v>0</s:v>
      </s:c>
      <s:c r="N12" s="202">
        <s:f>N16*N$6*$D$1</s:f>
        <s:v>0</s:v>
      </s:c>
      <s:c r="O12" s="202">
        <s:f>O16*O$6*$D$1</s:f>
        <s:v>0</s:v>
      </s:c>
      <s:c r="P12" s="202">
        <s:f>P16*P$6*$D$1</s:f>
        <s:v>0</s:v>
      </s:c>
      <s:c r="Q12" s="203">
        <s:f ca="1">SUMIFS(E12:P12,$E$3:$P$3,"&gt;=" &amp; $B$1)</s:f>
        <s:v>0</s:v>
      </s:c>
      <s:c r="R12" s="204">
        <s:f ca="1">Q12+D12</s:f>
        <s:v>0</s:v>
      </s:c>
      <s:c r="S12" s="204">
        <s:f ca="1">Q12+C12</s:f>
        <s:v>0</s:v>
      </s:c>
      <s:c r="T12" s="182"/>
    </s:row>
    <s:row r="13" spans="1:20" s="198" customFormat="1" ht="12" customHeight="1" outlineLevel="1">
      <s:c r="A13" s="199" t="s">
        <s:v>36</s:v>
      </s:c>
      <s:c r="B13" s="200"/>
      <s:c r="C13" s="200">
        <s:f>B13+D13</s:f>
        <s:v>0</s:v>
      </s:c>
      <s:c r="D13" s="201">
        <s:f>SUMIFS(E13:P13,$E$3:$P$3,"&lt;" &amp; $B$1)</s:f>
        <s:v>0</s:v>
      </s:c>
      <s:c r="E13" s="202">
        <s:f ca="1">E17*E$6*$D$1</s:f>
        <s:v>0</s:v>
      </s:c>
      <s:c r="F13" s="202">
        <s:f ca="1">F17*F$6*$D$1</s:f>
        <s:v>0</s:v>
      </s:c>
      <s:c r="G13" s="202">
        <s:f ca="1">G17*G$6*$D$1</s:f>
        <s:v>0</s:v>
      </s:c>
      <s:c r="H13" s="202">
        <s:f ca="1">H17*H$6*$D$1</s:f>
        <s:v>0</s:v>
      </s:c>
      <s:c r="I13" s="202">
        <s:f>I17*I$6*$D$1</s:f>
        <s:v>0</s:v>
      </s:c>
      <s:c r="J13" s="202">
        <s:f>J17*J$6*$D$1</s:f>
        <s:v>0</s:v>
      </s:c>
      <s:c r="K13" s="202">
        <s:f>K17*K$6*$D$1</s:f>
        <s:v>0</s:v>
      </s:c>
      <s:c r="L13" s="202">
        <s:f>L17*L$6*$D$1</s:f>
        <s:v>0</s:v>
      </s:c>
      <s:c r="M13" s="202">
        <s:f>M17*M$6*$D$1</s:f>
        <s:v>0</s:v>
      </s:c>
      <s:c r="N13" s="202">
        <s:f>N17*N$6*$D$1</s:f>
        <s:v>0</s:v>
      </s:c>
      <s:c r="O13" s="202">
        <s:f>O17*O$6*$D$1</s:f>
        <s:v>0</s:v>
      </s:c>
      <s:c r="P13" s="202">
        <s:f>P17*P$6*$D$1</s:f>
        <s:v>0</s:v>
      </s:c>
      <s:c r="Q13" s="203">
        <s:f ca="1">SUMIFS(E13:P13,$E$3:$P$3,"&gt;=" &amp; $B$1)</s:f>
        <s:v>0</s:v>
      </s:c>
      <s:c r="R13" s="204">
        <s:f ca="1">Q13+D13</s:f>
        <s:v>0</s:v>
      </s:c>
      <s:c r="S13" s="204">
        <s:f ca="1">Q13+C13</s:f>
        <s:v>0</s:v>
      </s:c>
      <s:c r="T13" s="182"/>
    </s:row>
    <s:row r="14" spans="1:20" s="198" customFormat="1" ht="12" customHeight="1" outlineLevel="1">
      <s:c r="A14" s="199" t="s">
        <s:v>37</s:v>
      </s:c>
      <s:c r="B14" s="200"/>
      <s:c r="C14" s="200">
        <s:f>B14+D14</s:f>
        <s:v>0</s:v>
      </s:c>
      <s:c r="D14" s="201">
        <s:f>SUMIFS(E14:P14,$E$3:$P$3,"&lt;" &amp; $B$1)</s:f>
        <s:v>0</s:v>
      </s:c>
      <s:c r="E14" s="202">
        <s:f ca="1">E18*E$6*$D$1</s:f>
        <s:v>0</s:v>
      </s:c>
      <s:c r="F14" s="202">
        <s:f ca="1">F18*F$6*$D$1</s:f>
        <s:v>0</s:v>
      </s:c>
      <s:c r="G14" s="202">
        <s:f ca="1">G18*G$6*$D$1</s:f>
        <s:v>0</s:v>
      </s:c>
      <s:c r="H14" s="202">
        <s:f ca="1">H18*H$6*$D$1</s:f>
        <s:v>0</s:v>
      </s:c>
      <s:c r="I14" s="202">
        <s:f>I18*I$6*$D$1</s:f>
        <s:v>0</s:v>
      </s:c>
      <s:c r="J14" s="202">
        <s:f>J18*J$6*$D$1</s:f>
        <s:v>0</s:v>
      </s:c>
      <s:c r="K14" s="202">
        <s:f>K18*K$6*$D$1</s:f>
        <s:v>0</s:v>
      </s:c>
      <s:c r="L14" s="202">
        <s:f>L18*L$6*$D$1</s:f>
        <s:v>0</s:v>
      </s:c>
      <s:c r="M14" s="202">
        <s:f>M18*M$6*$D$1</s:f>
        <s:v>0</s:v>
      </s:c>
      <s:c r="N14" s="202">
        <s:f>N18*N$6*$D$1</s:f>
        <s:v>0</s:v>
      </s:c>
      <s:c r="O14" s="202">
        <s:f>O18*O$6*$D$1</s:f>
        <s:v>0</s:v>
      </s:c>
      <s:c r="P14" s="202">
        <s:f>P18*P$6*$D$1</s:f>
        <s:v>0</s:v>
      </s:c>
      <s:c r="Q14" s="203">
        <s:f ca="1">SUMIFS(E14:P14,$E$3:$P$3,"&gt;=" &amp; $B$1)</s:f>
        <s:v>0</s:v>
      </s:c>
      <s:c r="R14" s="204">
        <s:f ca="1">Q14+D14</s:f>
        <s:v>0</s:v>
      </s:c>
      <s:c r="S14" s="204">
        <s:f ca="1">Q14+C14</s:f>
        <s:v>0</s:v>
      </s:c>
      <s:c r="T14" s="182"/>
    </s:row>
    <s:row r="15" spans="1:20" s="198" customFormat="1" ht="12">
      <s:c r="A15" s="191" t="s">
        <s:v>106</s:v>
      </s:c>
      <s:c r="B15" s="205">
        <s:v>0</s:v>
      </s:c>
      <s:c r="C15" s="206">
        <s:f>B15+D15</s:f>
        <s:v>0</s:v>
      </s:c>
      <s:c r="D15" s="207">
        <s:f>SUMIFS(E15:P15,$E$3:$P$3,"&lt;" &amp; $B$1)</s:f>
        <s:v>0</s:v>
      </s:c>
      <s:c r="E15" s="208">
        <s:v>0</s:v>
      </s:c>
      <s:c r="F15" s="205">
        <s:v>0</s:v>
      </s:c>
      <s:c r="G15" s="205">
        <s:v>0</s:v>
      </s:c>
      <s:c r="H15" s="205">
        <s:v>0</s:v>
      </s:c>
      <s:c r="I15" s="205">
        <s:v>0</s:v>
      </s:c>
      <s:c r="J15" s="205">
        <s:v>0</s:v>
      </s:c>
      <s:c r="K15" s="205">
        <s:v>0</s:v>
      </s:c>
      <s:c r="L15" s="205">
        <s:v>0</s:v>
      </s:c>
      <s:c r="M15" s="205">
        <s:v>0</s:v>
      </s:c>
      <s:c r="N15" s="205">
        <s:v>0</s:v>
      </s:c>
      <s:c r="O15" s="205">
        <s:v>0</s:v>
      </s:c>
      <s:c r="P15" s="209">
        <s:v>0</s:v>
      </s:c>
      <s:c r="Q15" s="210">
        <s:f>SUMIFS(E15:P15,$E$3:$P$3,"&gt;=" &amp; $B$1)</s:f>
        <s:v>0</s:v>
      </s:c>
      <s:c r="R15" s="206">
        <s:f>Q15+D15</s:f>
        <s:v>0</s:v>
      </s:c>
      <s:c r="S15" s="206">
        <s:f>Q15+C15</s:f>
        <s:v>0</s:v>
      </s:c>
      <s:c r="T15" s="211">
        <s:f ca="1">'Калькулятор бюджета по этапам'!M12</s:f>
        <s:v>0</s:v>
      </s:c>
    </s:row>
    <s:row r="16" spans="1:20" s="198" customFormat="1" outlineLevel="1">
      <s:c r="A16" s="199" t="s">
        <s:v>35</s:v>
      </s:c>
      <s:c r="B16" s="200"/>
      <s:c r="C16" s="200">
        <s:f>B16+D16</s:f>
        <s:v>0</s:v>
      </s:c>
      <s:c r="D16" s="201">
        <s:f>SUMIFS(E16:P16,$E$3:$P$3,"&lt;" &amp; $B$1)</s:f>
        <s:v>0</s:v>
      </s:c>
      <s:c r="E16" s="212">
        <s:f ca="1">IF(IFERROR(HLOOKUP(E4,'Калькулятор бюджета по этапам'!$E$7:$L$15,6,FALSE),0)&gt;0, IFERROR(HLOOKUP(E4,'Калькулятор бюджета по этапам'!$E$7:$L$15,7,FALSE),0)/HLOOKUP(E4,'Калькулятор бюджета по этапам'!$E$7:$L$15,6,FALSE),0)*E$15</s:f>
        <s:v>0</s:v>
      </s:c>
      <s:c r="F16" s="212">
        <s:f ca="1">IF(IFERROR(HLOOKUP(F4,'Калькулятор бюджета по этапам'!$E$7:$L$15,6,FALSE),0)&gt;0, IFERROR(HLOOKUP(F4,'Калькулятор бюджета по этапам'!$E$7:$L$15,7,FALSE),0)/HLOOKUP(F4,'Калькулятор бюджета по этапам'!$E$7:$L$15,6,FALSE),0)*F$15</s:f>
        <s:v>0</s:v>
      </s:c>
      <s:c r="G16" s="212">
        <s:f ca="1">IF(IFERROR(HLOOKUP(G4,'Калькулятор бюджета по этапам'!$E$7:$L$15,6,FALSE),0)&gt;0, IFERROR(HLOOKUP(G4,'Калькулятор бюджета по этапам'!$E$7:$L$15,7,FALSE),0)/HLOOKUP(G4,'Калькулятор бюджета по этапам'!$E$7:$L$15,6,FALSE),0)*G$15</s:f>
        <s:v>0</s:v>
      </s:c>
      <s:c r="H16" s="212">
        <s:f ca="1">IF(IFERROR(HLOOKUP(H4,'Калькулятор бюджета по этапам'!$E$7:$L$15,6,FALSE),0)&gt;0, IFERROR(HLOOKUP(H4,'Калькулятор бюджета по этапам'!$E$7:$L$15,7,FALSE),0)/HLOOKUP(H4,'Калькулятор бюджета по этапам'!$E$7:$L$15,6,FALSE),0)*H$15</s:f>
        <s:v>0</s:v>
      </s:c>
      <s:c r="I16" s="212">
        <s:f>IF(IFERROR(HLOOKUP(I4,'Калькулятор бюджета по этапам'!$E$7:$L$15,6,FALSE),0)&gt;0, IFERROR(HLOOKUP(I4,'Калькулятор бюджета по этапам'!$E$7:$L$15,7,FALSE),0)/HLOOKUP(I4,'Калькулятор бюджета по этапам'!$E$7:$L$15,6,FALSE),0)*I$15</s:f>
        <s:v>0</s:v>
      </s:c>
      <s:c r="J16" s="212">
        <s:f>IF(IFERROR(HLOOKUP(J4,'Калькулятор бюджета по этапам'!$E$7:$L$15,6,FALSE),0)&gt;0, IFERROR(HLOOKUP(J4,'Калькулятор бюджета по этапам'!$E$7:$L$15,7,FALSE),0)/HLOOKUP(J4,'Калькулятор бюджета по этапам'!$E$7:$L$15,6,FALSE),0)*J$15</s:f>
        <s:v>0</s:v>
      </s:c>
      <s:c r="K16" s="212">
        <s:f>IF(IFERROR(HLOOKUP(K4,'Калькулятор бюджета по этапам'!$E$7:$L$15,6,FALSE),0)&gt;0, IFERROR(HLOOKUP(K4,'Калькулятор бюджета по этапам'!$E$7:$L$15,7,FALSE),0)/HLOOKUP(K4,'Калькулятор бюджета по этапам'!$E$7:$L$15,6,FALSE),0)*K$15</s:f>
        <s:v>0</s:v>
      </s:c>
      <s:c r="L16" s="212">
        <s:f>IF(IFERROR(HLOOKUP(L4,'Калькулятор бюджета по этапам'!$E$7:$L$15,6,FALSE),0)&gt;0, IFERROR(HLOOKUP(L4,'Калькулятор бюджета по этапам'!$E$7:$L$15,7,FALSE),0)/HLOOKUP(L4,'Калькулятор бюджета по этапам'!$E$7:$L$15,6,FALSE),0)*L$15</s:f>
        <s:v>0</s:v>
      </s:c>
      <s:c r="M16" s="212">
        <s:f>IF(IFERROR(HLOOKUP(M4,'Калькулятор бюджета по этапам'!$E$7:$L$15,6,FALSE),0)&gt;0, IFERROR(HLOOKUP(M4,'Калькулятор бюджета по этапам'!$E$7:$L$15,7,FALSE),0)/HLOOKUP(M4,'Калькулятор бюджета по этапам'!$E$7:$L$15,6,FALSE),0)*M$15</s:f>
        <s:v>0</s:v>
      </s:c>
      <s:c r="N16" s="212">
        <s:f>IF(IFERROR(HLOOKUP(N4,'Калькулятор бюджета по этапам'!$E$7:$L$15,6,FALSE),0)&gt;0, IFERROR(HLOOKUP(N4,'Калькулятор бюджета по этапам'!$E$7:$L$15,7,FALSE),0)/HLOOKUP(N4,'Калькулятор бюджета по этапам'!$E$7:$L$15,6,FALSE),0)*N$15</s:f>
        <s:v>0</s:v>
      </s:c>
      <s:c r="O16" s="212">
        <s:f>IF(IFERROR(HLOOKUP(O4,'Калькулятор бюджета по этапам'!$E$7:$L$15,6,FALSE),0)&gt;0, IFERROR(HLOOKUP(O4,'Калькулятор бюджета по этапам'!$E$7:$L$15,7,FALSE),0)/HLOOKUP(O4,'Калькулятор бюджета по этапам'!$E$7:$L$15,6,FALSE),0)*O$15</s:f>
        <s:v>0</s:v>
      </s:c>
      <s:c r="P16" s="212">
        <s:f>IF(IFERROR(HLOOKUP(P4,'Калькулятор бюджета по этапам'!$E$7:$L$15,6,FALSE),0)&gt;0, IFERROR(HLOOKUP(P4,'Калькулятор бюджета по этапам'!$E$7:$L$15,7,FALSE),0)/HLOOKUP(P4,'Калькулятор бюджета по этапам'!$E$7:$L$15,6,FALSE),0)*P$15</s:f>
        <s:v>0</s:v>
      </s:c>
      <s:c r="Q16" s="203">
        <s:f ca="1">SUMIFS(E16:P16,$E$3:$P$3,"&gt;=" &amp; $B$1)</s:f>
        <s:v>0</s:v>
      </s:c>
      <s:c r="R16" s="204">
        <s:f ca="1">Q16+D16</s:f>
        <s:v>0</s:v>
      </s:c>
      <s:c r="S16" s="204">
        <s:f ca="1">Q16+C16</s:f>
        <s:v>0</s:v>
      </s:c>
      <s:c r="T16" s="213">
        <s:f ca="1">'Калькулятор бюджета по этапам'!M13</s:f>
        <s:v>0</s:v>
      </s:c>
    </s:row>
    <s:row r="17" spans="1:20" s="198" customFormat="1" ht="12" customHeight="1" outlineLevel="1">
      <s:c r="A17" s="199" t="s">
        <s:v>36</s:v>
      </s:c>
      <s:c r="B17" s="200"/>
      <s:c r="C17" s="200">
        <s:f>B17+D17</s:f>
        <s:v>0</s:v>
      </s:c>
      <s:c r="D17" s="201">
        <s:f>SUMIFS(E17:P17,$E$3:$P$3,"&lt;" &amp; $B$1)</s:f>
        <s:v>0</s:v>
      </s:c>
      <s:c r="E17" s="212">
        <s:f ca="1">IF(IFERROR(HLOOKUP(E4,'Калькулятор бюджета по этапам'!$E$7:$L$15,6,FALSE),0)&gt;0, IFERROR(HLOOKUP(E4,'Калькулятор бюджета по этапам'!$E$7:$L$15,8,FALSE),0)/HLOOKUP(E4,'Калькулятор бюджета по этапам'!$E$7:$L$15,6,FALSE),0)*E$15</s:f>
        <s:v>0</s:v>
      </s:c>
      <s:c r="F17" s="212">
        <s:f ca="1">IF(IFERROR(HLOOKUP(F4,'Калькулятор бюджета по этапам'!$E$7:$L$15,6,FALSE),0)&gt;0, IFERROR(HLOOKUP(F4,'Калькулятор бюджета по этапам'!$E$7:$L$15,8,FALSE),0)/HLOOKUP(F4,'Калькулятор бюджета по этапам'!$E$7:$L$15,6,FALSE),0)*F$15</s:f>
        <s:v>0</s:v>
      </s:c>
      <s:c r="G17" s="212">
        <s:f ca="1">IF(IFERROR(HLOOKUP(G4,'Калькулятор бюджета по этапам'!$E$7:$L$15,6,FALSE),0)&gt;0, IFERROR(HLOOKUP(G4,'Калькулятор бюджета по этапам'!$E$7:$L$15,8,FALSE),0)/HLOOKUP(G4,'Калькулятор бюджета по этапам'!$E$7:$L$15,6,FALSE),0)*G$15</s:f>
        <s:v>0</s:v>
      </s:c>
      <s:c r="H17" s="212">
        <s:f ca="1">IF(IFERROR(HLOOKUP(H4,'Калькулятор бюджета по этапам'!$E$7:$L$15,6,FALSE),0)&gt;0, IFERROR(HLOOKUP(H4,'Калькулятор бюджета по этапам'!$E$7:$L$15,8,FALSE),0)/HLOOKUP(H4,'Калькулятор бюджета по этапам'!$E$7:$L$15,6,FALSE),0)*H$15</s:f>
        <s:v>0</s:v>
      </s:c>
      <s:c r="I17" s="212">
        <s:f>IF(IFERROR(HLOOKUP(I4,'Калькулятор бюджета по этапам'!$E$7:$L$15,6,FALSE),0)&gt;0, IFERROR(HLOOKUP(I4,'Калькулятор бюджета по этапам'!$E$7:$L$15,8,FALSE),0)/HLOOKUP(I4,'Калькулятор бюджета по этапам'!$E$7:$L$15,6,FALSE),0)*I$15</s:f>
        <s:v>0</s:v>
      </s:c>
      <s:c r="J17" s="212">
        <s:f>IF(IFERROR(HLOOKUP(J4,'Калькулятор бюджета по этапам'!$E$7:$L$15,6,FALSE),0)&gt;0, IFERROR(HLOOKUP(J4,'Калькулятор бюджета по этапам'!$E$7:$L$15,8,FALSE),0)/HLOOKUP(J4,'Калькулятор бюджета по этапам'!$E$7:$L$15,6,FALSE),0)*J$15</s:f>
        <s:v>0</s:v>
      </s:c>
      <s:c r="K17" s="212">
        <s:f>IF(IFERROR(HLOOKUP(K4,'Калькулятор бюджета по этапам'!$E$7:$L$15,6,FALSE),0)&gt;0, IFERROR(HLOOKUP(K4,'Калькулятор бюджета по этапам'!$E$7:$L$15,8,FALSE),0)/HLOOKUP(K4,'Калькулятор бюджета по этапам'!$E$7:$L$15,6,FALSE),0)*K$15</s:f>
        <s:v>0</s:v>
      </s:c>
      <s:c r="L17" s="212">
        <s:f>IF(IFERROR(HLOOKUP(L4,'Калькулятор бюджета по этапам'!$E$7:$L$15,6,FALSE),0)&gt;0, IFERROR(HLOOKUP(L4,'Калькулятор бюджета по этапам'!$E$7:$L$15,8,FALSE),0)/HLOOKUP(L4,'Калькулятор бюджета по этапам'!$E$7:$L$15,6,FALSE),0)*L$15</s:f>
        <s:v>0</s:v>
      </s:c>
      <s:c r="M17" s="212">
        <s:f>IF(IFERROR(HLOOKUP(M4,'Калькулятор бюджета по этапам'!$E$7:$L$15,6,FALSE),0)&gt;0, IFERROR(HLOOKUP(M4,'Калькулятор бюджета по этапам'!$E$7:$L$15,8,FALSE),0)/HLOOKUP(M4,'Калькулятор бюджета по этапам'!$E$7:$L$15,6,FALSE),0)*M$15</s:f>
        <s:v>0</s:v>
      </s:c>
      <s:c r="N17" s="212">
        <s:f>IF(IFERROR(HLOOKUP(N4,'Калькулятор бюджета по этапам'!$E$7:$L$15,6,FALSE),0)&gt;0, IFERROR(HLOOKUP(N4,'Калькулятор бюджета по этапам'!$E$7:$L$15,8,FALSE),0)/HLOOKUP(N4,'Калькулятор бюджета по этапам'!$E$7:$L$15,6,FALSE),0)*N$15</s:f>
        <s:v>0</s:v>
      </s:c>
      <s:c r="O17" s="212">
        <s:f>IF(IFERROR(HLOOKUP(O4,'Калькулятор бюджета по этапам'!$E$7:$L$15,6,FALSE),0)&gt;0, IFERROR(HLOOKUP(O4,'Калькулятор бюджета по этапам'!$E$7:$L$15,8,FALSE),0)/HLOOKUP(O4,'Калькулятор бюджета по этапам'!$E$7:$L$15,6,FALSE),0)*O$15</s:f>
        <s:v>0</s:v>
      </s:c>
      <s:c r="P17" s="212">
        <s:f>IF(IFERROR(HLOOKUP(P4,'Калькулятор бюджета по этапам'!$E$7:$L$15,6,FALSE),0)&gt;0, IFERROR(HLOOKUP(P4,'Калькулятор бюджета по этапам'!$E$7:$L$15,8,FALSE),0)/HLOOKUP(P4,'Калькулятор бюджета по этапам'!$E$7:$L$15,6,FALSE),0)*P$15</s:f>
        <s:v>0</s:v>
      </s:c>
      <s:c r="Q17" s="203">
        <s:f ca="1">SUMIFS(E17:P17,$E$3:$P$3,"&gt;=" &amp; $B$1)</s:f>
        <s:v>0</s:v>
      </s:c>
      <s:c r="R17" s="204">
        <s:f ca="1">Q17+D17</s:f>
        <s:v>0</s:v>
      </s:c>
      <s:c r="S17" s="204">
        <s:f ca="1">Q17+C17</s:f>
        <s:v>0</s:v>
      </s:c>
      <s:c r="T17" s="213">
        <s:f ca="1">'Калькулятор бюджета по этапам'!M14</s:f>
        <s:v>0</s:v>
      </s:c>
    </s:row>
    <s:row r="18" spans="1:20" s="198" customFormat="1" ht="12" customHeight="1" outlineLevel="1">
      <s:c r="A18" s="199" t="s">
        <s:v>37</s:v>
      </s:c>
      <s:c r="B18" s="200"/>
      <s:c r="C18" s="200">
        <s:f>B18+D18</s:f>
        <s:v>0</s:v>
      </s:c>
      <s:c r="D18" s="201">
        <s:f>SUMIFS(E18:P18,$E$3:$P$3,"&lt;" &amp; $B$1)</s:f>
        <s:v>0</s:v>
      </s:c>
      <s:c r="E18" s="212">
        <s:f ca="1">IF(IFERROR(HLOOKUP(E4,'Калькулятор бюджета по этапам'!$E$7:$L$15,6,FALSE),0)&gt;0, IFERROR(HLOOKUP(E4,'Калькулятор бюджета по этапам'!$E$7:$L$15,9,FALSE),0)/HLOOKUP(E4,'Калькулятор бюджета по этапам'!$E$7:$L$15,6,FALSE),0)*E$15</s:f>
        <s:v>0</s:v>
      </s:c>
      <s:c r="F18" s="212">
        <s:f ca="1">IF(IFERROR(HLOOKUP(F4,'Калькулятор бюджета по этапам'!$E$7:$L$15,6,FALSE),0)&gt;0, IFERROR(HLOOKUP(F4,'Калькулятор бюджета по этапам'!$E$7:$L$15,9,FALSE),0)/HLOOKUP(F4,'Калькулятор бюджета по этапам'!$E$7:$L$15,6,FALSE),0)*F$15</s:f>
        <s:v>0</s:v>
      </s:c>
      <s:c r="G18" s="212">
        <s:f ca="1">IF(IFERROR(HLOOKUP(G4,'Калькулятор бюджета по этапам'!$E$7:$L$15,6,FALSE),0)&gt;0, IFERROR(HLOOKUP(G4,'Калькулятор бюджета по этапам'!$E$7:$L$15,9,FALSE),0)/HLOOKUP(G4,'Калькулятор бюджета по этапам'!$E$7:$L$15,6,FALSE),0)*G$15</s:f>
        <s:v>0</s:v>
      </s:c>
      <s:c r="H18" s="212">
        <s:f ca="1">IF(IFERROR(HLOOKUP(H4,'Калькулятор бюджета по этапам'!$E$7:$L$15,6,FALSE),0)&gt;0, IFERROR(HLOOKUP(H4,'Калькулятор бюджета по этапам'!$E$7:$L$15,9,FALSE),0)/HLOOKUP(H4,'Калькулятор бюджета по этапам'!$E$7:$L$15,6,FALSE),0)*H$15</s:f>
        <s:v>0</s:v>
      </s:c>
      <s:c r="I18" s="212">
        <s:f>IF(IFERROR(HLOOKUP(I4,'Калькулятор бюджета по этапам'!$E$7:$L$15,6,FALSE),0)&gt;0, IFERROR(HLOOKUP(I4,'Калькулятор бюджета по этапам'!$E$7:$L$15,9,FALSE),0)/HLOOKUP(I4,'Калькулятор бюджета по этапам'!$E$7:$L$15,6,FALSE),0)*I$15</s:f>
        <s:v>0</s:v>
      </s:c>
      <s:c r="J18" s="212">
        <s:f>IF(IFERROR(HLOOKUP(J4,'Калькулятор бюджета по этапам'!$E$7:$L$15,6,FALSE),0)&gt;0, IFERROR(HLOOKUP(J4,'Калькулятор бюджета по этапам'!$E$7:$L$15,9,FALSE),0)/HLOOKUP(J4,'Калькулятор бюджета по этапам'!$E$7:$L$15,6,FALSE),0)*J$15</s:f>
        <s:v>0</s:v>
      </s:c>
      <s:c r="K18" s="212">
        <s:f>IF(IFERROR(HLOOKUP(K4,'Калькулятор бюджета по этапам'!$E$7:$L$15,6,FALSE),0)&gt;0, IFERROR(HLOOKUP(K4,'Калькулятор бюджета по этапам'!$E$7:$L$15,9,FALSE),0)/HLOOKUP(K4,'Калькулятор бюджета по этапам'!$E$7:$L$15,6,FALSE),0)*K$15</s:f>
        <s:v>0</s:v>
      </s:c>
      <s:c r="L18" s="212">
        <s:f>IF(IFERROR(HLOOKUP(L4,'Калькулятор бюджета по этапам'!$E$7:$L$15,6,FALSE),0)&gt;0, IFERROR(HLOOKUP(L4,'Калькулятор бюджета по этапам'!$E$7:$L$15,9,FALSE),0)/HLOOKUP(L4,'Калькулятор бюджета по этапам'!$E$7:$L$15,6,FALSE),0)*L$15</s:f>
        <s:v>0</s:v>
      </s:c>
      <s:c r="M18" s="212">
        <s:f>IF(IFERROR(HLOOKUP(M4,'Калькулятор бюджета по этапам'!$E$7:$L$15,6,FALSE),0)&gt;0, IFERROR(HLOOKUP(M4,'Калькулятор бюджета по этапам'!$E$7:$L$15,9,FALSE),0)/HLOOKUP(M4,'Калькулятор бюджета по этапам'!$E$7:$L$15,6,FALSE),0)*M$15</s:f>
        <s:v>0</s:v>
      </s:c>
      <s:c r="N18" s="212">
        <s:f>IF(IFERROR(HLOOKUP(N4,'Калькулятор бюджета по этапам'!$E$7:$L$15,6,FALSE),0)&gt;0, IFERROR(HLOOKUP(N4,'Калькулятор бюджета по этапам'!$E$7:$L$15,9,FALSE),0)/HLOOKUP(N4,'Калькулятор бюджета по этапам'!$E$7:$L$15,6,FALSE),0)*N$15</s:f>
        <s:v>0</s:v>
      </s:c>
      <s:c r="O18" s="212">
        <s:f>IF(IFERROR(HLOOKUP(O4,'Калькулятор бюджета по этапам'!$E$7:$L$15,6,FALSE),0)&gt;0, IFERROR(HLOOKUP(O4,'Калькулятор бюджета по этапам'!$E$7:$L$15,9,FALSE),0)/HLOOKUP(O4,'Калькулятор бюджета по этапам'!$E$7:$L$15,6,FALSE),0)*O$15</s:f>
        <s:v>0</s:v>
      </s:c>
      <s:c r="P18" s="212">
        <s:f>IF(IFERROR(HLOOKUP(P4,'Калькулятор бюджета по этапам'!$E$7:$L$15,6,FALSE),0)&gt;0, IFERROR(HLOOKUP(P4,'Калькулятор бюджета по этапам'!$E$7:$L$15,9,FALSE),0)/HLOOKUP(P4,'Калькулятор бюджета по этапам'!$E$7:$L$15,6,FALSE),0)*P$15</s:f>
        <s:v>0</s:v>
      </s:c>
      <s:c r="Q18" s="203">
        <s:f ca="1">SUMIFS(E18:P18,$E$3:$P$3,"&gt;=" &amp; $B$1)</s:f>
        <s:v>0</s:v>
      </s:c>
      <s:c r="R18" s="204">
        <s:f ca="1">Q18+D18</s:f>
        <s:v>0</s:v>
      </s:c>
      <s:c r="S18" s="204">
        <s:f ca="1">Q18+C18</s:f>
        <s:v>0</s:v>
      </s:c>
      <s:c r="T18" s="213">
        <s:f ca="1">'Калькулятор бюджета по этапам'!M15</s:f>
        <s:v>0</s:v>
      </s:c>
    </s:row>
    <s:row r="19" spans="1:20" s="198" customFormat="1" ht="12.75" customHeight="1">
      <s:c r="A19" s="191" t="s">
        <s:v>112</s:v>
      </s:c>
      <s:c r="B19" s="214">
        <s:f>B20</s:f>
        <s:v>0</s:v>
      </s:c>
      <s:c r="C19" s="214">
        <s:f>B19+D19</s:f>
        <s:v>0</s:v>
      </s:c>
      <s:c r="D19" s="215">
        <s:f>SUMIFS(E19:P19,$E$3:$P$3,"&lt;" &amp; $B$1)</s:f>
        <s:v>0</s:v>
      </s:c>
      <s:c r="E19" s="216">
        <s:f>E20*E10*$D$1</s:f>
        <s:v>0</s:v>
      </s:c>
      <s:c r="F19" s="216">
        <s:f>F20*F10*$D$1</s:f>
        <s:v>0</s:v>
      </s:c>
      <s:c r="G19" s="216">
        <s:f>G20*G10*$D$1</s:f>
        <s:v>0</s:v>
      </s:c>
      <s:c r="H19" s="216">
        <s:f>H20*H10*$D$1</s:f>
        <s:v>0</s:v>
      </s:c>
      <s:c r="I19" s="216">
        <s:f>I20*I10*$D$1</s:f>
        <s:v>0</s:v>
      </s:c>
      <s:c r="J19" s="216">
        <s:f>J20*J10*$D$1</s:f>
        <s:v>0</s:v>
      </s:c>
      <s:c r="K19" s="216">
        <s:f>K20*K10*$D$1</s:f>
        <s:v>0</s:v>
      </s:c>
      <s:c r="L19" s="216">
        <s:f>L20*L10*$D$1</s:f>
        <s:v>0</s:v>
      </s:c>
      <s:c r="M19" s="216">
        <s:f>M20*M10*$D$1</s:f>
        <s:v>0</s:v>
      </s:c>
      <s:c r="N19" s="216">
        <s:f>N20*N10*$D$1</s:f>
        <s:v>0</s:v>
      </s:c>
      <s:c r="O19" s="216">
        <s:f>O20*O10*$D$1</s:f>
        <s:v>0</s:v>
      </s:c>
      <s:c r="P19" s="216">
        <s:f>P20*P10*$D$1</s:f>
        <s:v>0</s:v>
      </s:c>
      <s:c r="Q19" s="210">
        <s:f>SUMIFS(E19:P19,$E$3:$P$3,"&gt;=" &amp; $B$1)</s:f>
        <s:v>0</s:v>
      </s:c>
      <s:c r="R19" s="206">
        <s:f>Q19+D19</s:f>
        <s:v>0</s:v>
      </s:c>
      <s:c r="S19" s="206">
        <s:f>Q19+C19</s:f>
        <s:v>0</s:v>
      </s:c>
      <s:c r="T19" s="217"/>
    </s:row>
    <s:row r="20" spans="1:20" s="198" customFormat="1" ht="13.5" customHeight="1" outlineLevel="1">
      <s:c r="A20" s="218" t="s">
        <s:v>113</s:v>
      </s:c>
      <s:c r="B20" s="219">
        <s:v>0</s:v>
      </s:c>
      <s:c r="C20" s="200">
        <s:f>B20+D20</s:f>
        <s:v>0</s:v>
      </s:c>
      <s:c r="D20" s="201">
        <s:f>SUMIFS(E20:P20,$E$3:$P$3,"&lt;" &amp; $B$1)</s:f>
        <s:v>0</s:v>
      </s:c>
      <s:c r="E20" s="220">
        <s:v>0</s:v>
      </s:c>
      <s:c r="F20" s="219">
        <s:v>0</s:v>
      </s:c>
      <s:c r="G20" s="219">
        <s:v>0</s:v>
      </s:c>
      <s:c r="H20" s="219">
        <s:v>0</s:v>
      </s:c>
      <s:c r="I20" s="219">
        <s:v>0</s:v>
      </s:c>
      <s:c r="J20" s="219">
        <s:v>0</s:v>
      </s:c>
      <s:c r="K20" s="219">
        <s:v>0</s:v>
      </s:c>
      <s:c r="L20" s="219">
        <s:v>0</s:v>
      </s:c>
      <s:c r="M20" s="219">
        <s:v>0</s:v>
      </s:c>
      <s:c r="N20" s="219">
        <s:v>0</s:v>
      </s:c>
      <s:c r="O20" s="219">
        <s:v>0</s:v>
      </s:c>
      <s:c r="P20" s="221">
        <s:v>0</s:v>
      </s:c>
      <s:c r="Q20" s="203">
        <s:f>SUMIFS(E20:P20,$E$3:$P$3,"&gt;=" &amp; $B$1)</s:f>
        <s:v>0</s:v>
      </s:c>
      <s:c r="R20" s="204">
        <s:f>Q20+D20</s:f>
        <s:v>0</s:v>
      </s:c>
      <s:c r="S20" s="204">
        <s:f>Q20+C20</s:f>
        <s:v>0</s:v>
      </s:c>
      <s:c r="T20" s="217"/>
    </s:row>
    <s:row r="21" spans="1:20" s="222" customFormat="1" ht="12">
      <s:c r="A21" s="191" t="s">
        <s:v>40</s:v>
      </s:c>
      <s:c r="B21" s="223">
        <s:f>B22+B26+B30</s:f>
        <s:v>0</s:v>
      </s:c>
      <s:c r="C21" s="223">
        <s:f>C22+C26+C30</s:f>
        <s:v>0</s:v>
      </s:c>
      <s:c r="D21" s="224">
        <s:f>D22+D26+D30</s:f>
        <s:v>0</s:v>
      </s:c>
      <s:c r="E21" s="225">
        <s:f ca="1">E22+E26+E30</s:f>
        <s:v>0</s:v>
      </s:c>
      <s:c r="F21" s="223">
        <s:f ca="1">F22+F26+F30</s:f>
        <s:v>0</s:v>
      </s:c>
      <s:c r="G21" s="223">
        <s:f ca="1">G22+G26+G30</s:f>
        <s:v>0</s:v>
      </s:c>
      <s:c r="H21" s="223">
        <s:f ca="1">H22+H26+H30</s:f>
        <s:v>0</s:v>
      </s:c>
      <s:c r="I21" s="223">
        <s:f ca="1">I22+I26+I30</s:f>
        <s:v>0</s:v>
      </s:c>
      <s:c r="J21" s="223">
        <s:f ca="1">J22+J26+J30</s:f>
        <s:v>0</s:v>
      </s:c>
      <s:c r="K21" s="223">
        <s:f ca="1">K22+K26+K30</s:f>
        <s:v>0</s:v>
      </s:c>
      <s:c r="L21" s="223">
        <s:f ca="1">L22+L26+L30</s:f>
        <s:v>0</s:v>
      </s:c>
      <s:c r="M21" s="223">
        <s:f ca="1">M22+M26+M30</s:f>
        <s:v>0</s:v>
      </s:c>
      <s:c r="N21" s="223">
        <s:f ca="1">N22+N26+N30</s:f>
        <s:v>0</s:v>
      </s:c>
      <s:c r="O21" s="223">
        <s:f ca="1">O22+O26+O30</s:f>
        <s:v>0</s:v>
      </s:c>
      <s:c r="P21" s="226">
        <s:f ca="1">P22+P26+P30</s:f>
        <s:v>0</s:v>
      </s:c>
      <s:c r="Q21" s="227">
        <s:f ca="1">Q22+Q26+Q30</s:f>
        <s:v>0</s:v>
      </s:c>
      <s:c r="R21" s="223">
        <s:f ca="1">R22+R26+R30</s:f>
        <s:v>0</s:v>
      </s:c>
      <s:c r="S21" s="223">
        <s:f ca="1">S22+S26+S30</s:f>
        <s:v>0</s:v>
      </s:c>
      <s:c r="T21" s="228">
        <s:f ca="1">'Калькулятор бюджета по этапам'!M16</s:f>
        <s:v>0</s:v>
      </s:c>
    </s:row>
    <s:row r="22">
      <s:c r="A22" s="229" t="s">
        <s:v>41</s:v>
      </s:c>
      <s:c r="B22" s="206"/>
      <s:c r="C22" s="206">
        <s:f>SUM(C23:C25)</s:f>
        <s:v>0</s:v>
      </s:c>
      <s:c r="D22" s="207">
        <s:f>SUM(D23:D25)</s:f>
        <s:v>0</s:v>
      </s:c>
      <s:c r="E22" s="230">
        <s:f ca="1">SUM(E23:E25)*$D$1*E7</s:f>
        <s:v>0</s:v>
      </s:c>
      <s:c r="F22" s="230">
        <s:f ca="1">SUM(F23:F25)*$D$1*F7</s:f>
        <s:v>0</s:v>
      </s:c>
      <s:c r="G22" s="230">
        <s:f ca="1">SUM(G23:G25)*$D$1*G7</s:f>
        <s:v>0</s:v>
      </s:c>
      <s:c r="H22" s="230">
        <s:f ca="1">SUM(H23:H25)*$D$1*H7</s:f>
        <s:v>0</s:v>
      </s:c>
      <s:c r="I22" s="230">
        <s:f ca="1">SUM(I23:I25)*$D$1*I7</s:f>
        <s:v>0</s:v>
      </s:c>
      <s:c r="J22" s="230">
        <s:f ca="1">SUM(J23:J25)*$D$1*J7</s:f>
        <s:v>0</s:v>
      </s:c>
      <s:c r="K22" s="230">
        <s:f ca="1">SUM(K23:K25)*$D$1*K7</s:f>
        <s:v>0</s:v>
      </s:c>
      <s:c r="L22" s="230">
        <s:f ca="1">SUM(L23:L25)*$D$1*L7</s:f>
        <s:v>0</s:v>
      </s:c>
      <s:c r="M22" s="230">
        <s:f ca="1">SUM(M23:M25)*$D$1*M7</s:f>
        <s:v>0</s:v>
      </s:c>
      <s:c r="N22" s="230">
        <s:f ca="1">SUM(N23:N25)*$D$1*N7</s:f>
        <s:v>0</s:v>
      </s:c>
      <s:c r="O22" s="230">
        <s:f ca="1">SUM(O23:O25)*$D$1*O7</s:f>
        <s:v>0</s:v>
      </s:c>
      <s:c r="P22" s="230">
        <s:f ca="1">SUM(P23:P25)*$D$1*P7</s:f>
        <s:v>0</s:v>
      </s:c>
      <s:c r="Q22" s="203">
        <s:f ca="1">SUMIFS(E22:P22,$E$3:$P$3,"&gt;=" &amp; $B$1)</s:f>
        <s:v>0</s:v>
      </s:c>
      <s:c r="R22" s="206">
        <s:f ca="1">SUM(R23:R25)</s:f>
        <s:v>0</s:v>
      </s:c>
      <s:c r="S22" s="206">
        <s:f ca="1">SUM(S23:S25)</s:f>
        <s:v>0</s:v>
      </s:c>
      <s:c r="T22" s="211">
        <s:f ca="1">'Калькулятор бюджета по этапам'!M17</s:f>
        <s:v>0</s:v>
      </s:c>
    </s:row>
    <s:row r="23" spans="1:20" s="231" customFormat="1" outlineLevel="2">
      <s:c r="A23" s="199" t="s">
        <s:v>42</s:v>
      </s:c>
      <s:c r="B23" s="219">
        <s:v>0</s:v>
      </s:c>
      <s:c r="C23" s="200">
        <s:f>B23+D23</s:f>
        <s:v>0</s:v>
      </s:c>
      <s:c r="D23" s="201">
        <s:f>SUMIFS(E23:P23,$E$3:$P$3,"&lt;" &amp; $B$1)</s:f>
        <s:v>0</s:v>
      </s:c>
      <s:c r="E23" s="232">
        <s:f ca="1">'Планирование ресурсов'!C3</s:f>
        <s:v>0</s:v>
      </s:c>
      <s:c r="F23" s="232">
        <s:f ca="1">'Планирование ресурсов'!D3</s:f>
        <s:v>0</s:v>
      </s:c>
      <s:c r="G23" s="232">
        <s:f ca="1">'Планирование ресурсов'!E3</s:f>
        <s:v>0</s:v>
      </s:c>
      <s:c r="H23" s="232">
        <s:f ca="1">'Планирование ресурсов'!F3</s:f>
        <s:v>0</s:v>
      </s:c>
      <s:c r="I23" s="232">
        <s:f ca="1">'Планирование ресурсов'!G3</s:f>
        <s:v>0</s:v>
      </s:c>
      <s:c r="J23" s="232">
        <s:f ca="1">'Планирование ресурсов'!H3</s:f>
        <s:v>0</s:v>
      </s:c>
      <s:c r="K23" s="232">
        <s:f ca="1">'Планирование ресурсов'!I3</s:f>
        <s:v>0</s:v>
      </s:c>
      <s:c r="L23" s="232">
        <s:f ca="1">'Планирование ресурсов'!J3</s:f>
        <s:v>0</s:v>
      </s:c>
      <s:c r="M23" s="232">
        <s:f ca="1">'Планирование ресурсов'!K3</s:f>
        <s:v>0</s:v>
      </s:c>
      <s:c r="N23" s="232">
        <s:f ca="1">'Планирование ресурсов'!L3</s:f>
        <s:v>0</s:v>
      </s:c>
      <s:c r="O23" s="232">
        <s:f ca="1">'Планирование ресурсов'!M3</s:f>
        <s:v>0</s:v>
      </s:c>
      <s:c r="P23" s="232">
        <s:f ca="1">'Планирование ресурсов'!N3</s:f>
        <s:v>0</s:v>
      </s:c>
      <s:c r="Q23" s="203">
        <s:f ca="1">SUMIFS(E23:P23,$E$3:$P$3,"&gt;=" &amp; $B$1)</s:f>
        <s:v>0</s:v>
      </s:c>
      <s:c r="R23" s="204">
        <s:f ca="1">Q23+D23</s:f>
        <s:v>0</s:v>
      </s:c>
      <s:c r="S23" s="204">
        <s:f ca="1">Q23+C23</s:f>
        <s:v>0</s:v>
      </s:c>
      <s:c r="T23" s="213">
        <s:f ca="1">'Калькулятор бюджета по этапам'!M18</s:f>
        <s:v>0</s:v>
      </s:c>
    </s:row>
    <s:row r="24" spans="1:20" s="198" customFormat="1" outlineLevel="2">
      <s:c r="A24" s="199" t="s">
        <s:v>43</s:v>
      </s:c>
      <s:c r="B24" s="233">
        <s:v>0</s:v>
      </s:c>
      <s:c r="C24" s="200">
        <s:f>B24+D24</s:f>
        <s:v>0</s:v>
      </s:c>
      <s:c r="D24" s="201">
        <s:f>SUMIFS(E24:P24,$E$3:$P$3,"&lt;" &amp; $B$1)</s:f>
        <s:v>0</s:v>
      </s:c>
      <s:c r="E24" s="232">
        <s:f>'Планирование ресурсов'!C4</s:f>
        <s:v>0</s:v>
      </s:c>
      <s:c r="F24" s="232">
        <s:f>'Планирование ресурсов'!D4</s:f>
        <s:v>0</s:v>
      </s:c>
      <s:c r="G24" s="232">
        <s:f>'Планирование ресурсов'!E4</s:f>
        <s:v>0</s:v>
      </s:c>
      <s:c r="H24" s="232">
        <s:f>'Планирование ресурсов'!F4</s:f>
        <s:v>0</s:v>
      </s:c>
      <s:c r="I24" s="232">
        <s:f>'Планирование ресурсов'!G4</s:f>
        <s:v>0</s:v>
      </s:c>
      <s:c r="J24" s="232">
        <s:f>'Планирование ресурсов'!H4</s:f>
        <s:v>0</s:v>
      </s:c>
      <s:c r="K24" s="232">
        <s:f>'Планирование ресурсов'!I4</s:f>
        <s:v>0</s:v>
      </s:c>
      <s:c r="L24" s="232">
        <s:f>'Планирование ресурсов'!J4</s:f>
        <s:v>0</s:v>
      </s:c>
      <s:c r="M24" s="232">
        <s:f>'Планирование ресурсов'!K4</s:f>
        <s:v>0</s:v>
      </s:c>
      <s:c r="N24" s="232">
        <s:f>'Планирование ресурсов'!L4</s:f>
        <s:v>0</s:v>
      </s:c>
      <s:c r="O24" s="232">
        <s:f>'Планирование ресурсов'!M4</s:f>
        <s:v>0</s:v>
      </s:c>
      <s:c r="P24" s="232">
        <s:f>'Планирование ресурсов'!N4</s:f>
        <s:v>0</s:v>
      </s:c>
      <s:c r="Q24" s="203">
        <s:f>SUMIFS(E24:P24,$E$3:$P$3,"&gt;=" &amp; $B$1)</s:f>
        <s:v>0</s:v>
      </s:c>
      <s:c r="R24" s="204">
        <s:f>Q24+D24</s:f>
        <s:v>0</s:v>
      </s:c>
      <s:c r="S24" s="204">
        <s:f>Q24+C24</s:f>
        <s:v>0</s:v>
      </s:c>
      <s:c r="T24" s="213">
        <s:f ca="1">'Калькулятор бюджета по этапам'!M19</s:f>
        <s:v>0</s:v>
      </s:c>
    </s:row>
    <s:row r="25" spans="1:20" s="198" customFormat="1" outlineLevel="2">
      <s:c r="A25" s="199" t="s">
        <s:v>44</s:v>
      </s:c>
      <s:c r="B25" s="233">
        <s:v>0</s:v>
      </s:c>
      <s:c r="C25" s="200">
        <s:f>B25+D25</s:f>
        <s:v>0</s:v>
      </s:c>
      <s:c r="D25" s="201">
        <s:f>SUMIFS(E25:P25,$E$3:$P$3,"&lt;" &amp; $B$1)</s:f>
        <s:v>0</s:v>
      </s:c>
      <s:c r="E25" s="232">
        <s:f>'Планирование ресурсов'!C5</s:f>
        <s:v>0</s:v>
      </s:c>
      <s:c r="F25" s="232">
        <s:f>'Планирование ресурсов'!D5</s:f>
        <s:v>0</s:v>
      </s:c>
      <s:c r="G25" s="232">
        <s:f>'Планирование ресурсов'!E5</s:f>
        <s:v>0</s:v>
      </s:c>
      <s:c r="H25" s="232">
        <s:f>'Планирование ресурсов'!F5</s:f>
        <s:v>0</s:v>
      </s:c>
      <s:c r="I25" s="232">
        <s:f>'Планирование ресурсов'!G5</s:f>
        <s:v>0</s:v>
      </s:c>
      <s:c r="J25" s="232">
        <s:f>'Планирование ресурсов'!H5</s:f>
        <s:v>0</s:v>
      </s:c>
      <s:c r="K25" s="232">
        <s:f>'Планирование ресурсов'!I5</s:f>
        <s:v>0</s:v>
      </s:c>
      <s:c r="L25" s="232">
        <s:f>'Планирование ресурсов'!J5</s:f>
        <s:v>0</s:v>
      </s:c>
      <s:c r="M25" s="232">
        <s:f>'Планирование ресурсов'!K5</s:f>
        <s:v>0</s:v>
      </s:c>
      <s:c r="N25" s="232">
        <s:f>'Планирование ресурсов'!L5</s:f>
        <s:v>0</s:v>
      </s:c>
      <s:c r="O25" s="232">
        <s:f>'Планирование ресурсов'!M5</s:f>
        <s:v>0</s:v>
      </s:c>
      <s:c r="P25" s="232">
        <s:f>'Планирование ресурсов'!N5</s:f>
        <s:v>0</s:v>
      </s:c>
      <s:c r="Q25" s="203">
        <s:f>SUMIFS(E25:P25,$E$3:$P$3,"&gt;=" &amp; $B$1)</s:f>
        <s:v>0</s:v>
      </s:c>
      <s:c r="R25" s="204">
        <s:f>Q25+D25</s:f>
        <s:v>0</s:v>
      </s:c>
      <s:c r="S25" s="204">
        <s:f>Q25+C25</s:f>
        <s:v>0</s:v>
      </s:c>
      <s:c r="T25" s="213">
        <s:f ca="1">'Калькулятор бюджета по этапам'!M20</s:f>
        <s:v>0</s:v>
      </s:c>
    </s:row>
    <s:row r="26" spans="1:20" s="231" customFormat="1" outlineLevel="1">
      <s:c r="A26" s="229" t="s">
        <s:v>36</s:v>
      </s:c>
      <s:c r="B26" s="206"/>
      <s:c r="C26" s="206">
        <s:f>SUM(C27:C29)</s:f>
        <s:v>0</s:v>
      </s:c>
      <s:c r="D26" s="207">
        <s:f>SUMIFS(E26:P26,$E$3:$P$3,"&lt;" &amp; $B$1)</s:f>
        <s:v>0</s:v>
      </s:c>
      <s:c r="E26" s="230">
        <s:f>SUM(E27:E29)*E8*$D$1</s:f>
        <s:v>0</s:v>
      </s:c>
      <s:c r="F26" s="230">
        <s:f>SUM(F27:F29)*F8*$D$1</s:f>
        <s:v>0</s:v>
      </s:c>
      <s:c r="G26" s="230">
        <s:f>SUM(G27:G29)*G8*$D$1</s:f>
        <s:v>0</s:v>
      </s:c>
      <s:c r="H26" s="230">
        <s:f>SUM(H27:H29)*H8*$D$1</s:f>
        <s:v>0</s:v>
      </s:c>
      <s:c r="I26" s="230">
        <s:f>SUM(I27:I29)*I8*$D$1</s:f>
        <s:v>0</s:v>
      </s:c>
      <s:c r="J26" s="230">
        <s:f>SUM(J27:J29)*J8*$D$1</s:f>
        <s:v>0</s:v>
      </s:c>
      <s:c r="K26" s="230">
        <s:f>SUM(K27:K29)*K8*$D$1</s:f>
        <s:v>0</s:v>
      </s:c>
      <s:c r="L26" s="230">
        <s:f>SUM(L27:L29)*L8*$D$1</s:f>
        <s:v>0</s:v>
      </s:c>
      <s:c r="M26" s="230">
        <s:f>SUM(M27:M29)*M8*$D$1</s:f>
        <s:v>0</s:v>
      </s:c>
      <s:c r="N26" s="230">
        <s:f>SUM(N27:N29)*N8*$D$1</s:f>
        <s:v>0</s:v>
      </s:c>
      <s:c r="O26" s="230">
        <s:f>SUM(O27:O29)*O8*$D$1</s:f>
        <s:v>0</s:v>
      </s:c>
      <s:c r="P26" s="230">
        <s:f>SUM(P27:P29)*P8*$D$1</s:f>
        <s:v>0</s:v>
      </s:c>
      <s:c r="Q26" s="234">
        <s:f>SUMIFS(E26:P26,$E$3:$P$3,"&gt;=" &amp; $B$1)</s:f>
        <s:v>0</s:v>
      </s:c>
      <s:c r="R26" s="235">
        <s:f>Q26+D26</s:f>
        <s:v>0</s:v>
      </s:c>
      <s:c r="S26" s="235">
        <s:f>Q26+C26</s:f>
        <s:v>0</s:v>
      </s:c>
      <s:c r="T26" s="211">
        <s:f ca="1">'Калькулятор бюджета по этапам'!M21</s:f>
        <s:v>0</s:v>
      </s:c>
    </s:row>
    <s:row r="27" spans="1:20" s="231" customFormat="1" outlineLevel="2">
      <s:c r="A27" s="199" t="s">
        <s:v>42</s:v>
      </s:c>
      <s:c r="B27" s="219">
        <s:v>0</s:v>
      </s:c>
      <s:c r="C27" s="200">
        <s:f>B27+D27</s:f>
        <s:v>0</s:v>
      </s:c>
      <s:c r="D27" s="201">
        <s:f>SUMIFS(E27:P27,$E$3:$P$3,"&lt;" &amp; $B$1)</s:f>
        <s:v>0</s:v>
      </s:c>
      <s:c r="E27" s="220">
        <s:v>0</s:v>
      </s:c>
      <s:c r="F27" s="219">
        <s:v>0</s:v>
      </s:c>
      <s:c r="G27" s="219">
        <s:v>0</s:v>
      </s:c>
      <s:c r="H27" s="219">
        <s:v>0</s:v>
      </s:c>
      <s:c r="I27" s="219">
        <s:v>0</s:v>
      </s:c>
      <s:c r="J27" s="219">
        <s:v>0</s:v>
      </s:c>
      <s:c r="K27" s="219">
        <s:v>0</s:v>
      </s:c>
      <s:c r="L27" s="219">
        <s:v>0</s:v>
      </s:c>
      <s:c r="M27" s="219">
        <s:v>0</s:v>
      </s:c>
      <s:c r="N27" s="219">
        <s:v>0</s:v>
      </s:c>
      <s:c r="O27" s="219">
        <s:v>0</s:v>
      </s:c>
      <s:c r="P27" s="221">
        <s:v>0</s:v>
      </s:c>
      <s:c r="Q27" s="203">
        <s:f>SUMIFS(E27:P27,$E$3:$P$3,"&gt;=" &amp; $B$1)</s:f>
        <s:v>0</s:v>
      </s:c>
      <s:c r="R27" s="204">
        <s:f>Q27+D27</s:f>
        <s:v>0</s:v>
      </s:c>
      <s:c r="S27" s="204">
        <s:f>Q27+C27</s:f>
        <s:v>0</s:v>
      </s:c>
      <s:c r="T27" s="213">
        <s:f ca="1">'Калькулятор бюджета по этапам'!M22</s:f>
        <s:v>0</s:v>
      </s:c>
    </s:row>
    <s:row r="28" spans="1:20" s="231" customFormat="1" outlineLevel="2">
      <s:c r="A28" s="199" t="s">
        <s:v>43</s:v>
      </s:c>
      <s:c r="B28" s="219">
        <s:v>0</s:v>
      </s:c>
      <s:c r="C28" s="200">
        <s:f>B28+D28</s:f>
        <s:v>0</s:v>
      </s:c>
      <s:c r="D28" s="201">
        <s:f>SUMIFS(E28:P28,$E$3:$P$3,"&lt;" &amp; $B$1)</s:f>
        <s:v>0</s:v>
      </s:c>
      <s:c r="E28" s="220">
        <s:v>0</s:v>
      </s:c>
      <s:c r="F28" s="219">
        <s:v>0</s:v>
      </s:c>
      <s:c r="G28" s="219">
        <s:v>0</s:v>
      </s:c>
      <s:c r="H28" s="219">
        <s:v>0</s:v>
      </s:c>
      <s:c r="I28" s="219">
        <s:v>0</s:v>
      </s:c>
      <s:c r="J28" s="219">
        <s:v>0</s:v>
      </s:c>
      <s:c r="K28" s="219">
        <s:v>0</s:v>
      </s:c>
      <s:c r="L28" s="219">
        <s:v>0</s:v>
      </s:c>
      <s:c r="M28" s="219">
        <s:v>0</s:v>
      </s:c>
      <s:c r="N28" s="219">
        <s:v>0</s:v>
      </s:c>
      <s:c r="O28" s="219">
        <s:v>0</s:v>
      </s:c>
      <s:c r="P28" s="221">
        <s:v>0</s:v>
      </s:c>
      <s:c r="Q28" s="203">
        <s:f>SUMIFS(E28:P28,$E$3:$P$3,"&gt;=" &amp; $B$1)</s:f>
        <s:v>0</s:v>
      </s:c>
      <s:c r="R28" s="204">
        <s:f>Q28+D28</s:f>
        <s:v>0</s:v>
      </s:c>
      <s:c r="S28" s="204">
        <s:f>Q28+C28</s:f>
        <s:v>0</s:v>
      </s:c>
      <s:c r="T28" s="213">
        <s:f ca="1">'Калькулятор бюджета по этапам'!M23</s:f>
        <s:v>0</s:v>
      </s:c>
    </s:row>
    <s:row r="29" spans="1:20" s="231" customFormat="1" outlineLevel="2">
      <s:c r="A29" s="199" t="s">
        <s:v>44</s:v>
      </s:c>
      <s:c r="B29" s="219">
        <s:v>0</s:v>
      </s:c>
      <s:c r="C29" s="200">
        <s:f>B29+D29</s:f>
        <s:v>0</s:v>
      </s:c>
      <s:c r="D29" s="201">
        <s:f>SUMIFS(E29:P29,$E$3:$P$3,"&lt;" &amp; $B$1)</s:f>
        <s:v>0</s:v>
      </s:c>
      <s:c r="E29" s="220">
        <s:v>0</s:v>
      </s:c>
      <s:c r="F29" s="219">
        <s:v>0</s:v>
      </s:c>
      <s:c r="G29" s="219">
        <s:v>0</s:v>
      </s:c>
      <s:c r="H29" s="219">
        <s:v>0</s:v>
      </s:c>
      <s:c r="I29" s="219">
        <s:v>0</s:v>
      </s:c>
      <s:c r="J29" s="219">
        <s:v>0</s:v>
      </s:c>
      <s:c r="K29" s="219">
        <s:v>0</s:v>
      </s:c>
      <s:c r="L29" s="219">
        <s:v>0</s:v>
      </s:c>
      <s:c r="M29" s="219">
        <s:v>0</s:v>
      </s:c>
      <s:c r="N29" s="219">
        <s:v>0</s:v>
      </s:c>
      <s:c r="O29" s="219">
        <s:v>0</s:v>
      </s:c>
      <s:c r="P29" s="221">
        <s:v>0</s:v>
      </s:c>
      <s:c r="Q29" s="203">
        <s:f>SUMIFS(E29:P29,$E$3:$P$3,"&gt;=" &amp; $B$1)</s:f>
        <s:v>0</s:v>
      </s:c>
      <s:c r="R29" s="204">
        <s:f>Q29+D29</s:f>
        <s:v>0</s:v>
      </s:c>
      <s:c r="S29" s="204">
        <s:f>Q29+C29</s:f>
        <s:v>0</s:v>
      </s:c>
      <s:c r="T29" s="213">
        <s:f ca="1">'Калькулятор бюджета по этапам'!M24</s:f>
        <s:v>0</s:v>
      </s:c>
    </s:row>
    <s:row r="30">
      <s:c r="A30" s="229" t="s">
        <s:v>45</s:v>
      </s:c>
      <s:c r="B30" s="235"/>
      <s:c r="C30" s="235">
        <s:f>SUM(C31:C33)</s:f>
        <s:v>0</s:v>
      </s:c>
      <s:c r="D30" s="236">
        <s:f>SUM(D31:D33)</s:f>
        <s:v>0</s:v>
      </s:c>
      <s:c r="E30" s="237">
        <s:f>SUM(E31:E33)*E9*$D$1</s:f>
        <s:v>0</s:v>
      </s:c>
      <s:c r="F30" s="237">
        <s:f>SUM(F31:F33)*F9*$D$1</s:f>
        <s:v>0</s:v>
      </s:c>
      <s:c r="G30" s="237">
        <s:f>SUM(G31:G33)*G9*$D$1</s:f>
        <s:v>0</s:v>
      </s:c>
      <s:c r="H30" s="237">
        <s:f>SUM(H31:H33)*H9*$D$1</s:f>
        <s:v>0</s:v>
      </s:c>
      <s:c r="I30" s="237">
        <s:f>SUM(I31:I33)*I9*$D$1</s:f>
        <s:v>0</s:v>
      </s:c>
      <s:c r="J30" s="237">
        <s:f>SUM(J31:J33)*J9*$D$1</s:f>
        <s:v>0</s:v>
      </s:c>
      <s:c r="K30" s="237">
        <s:f>SUM(K31:K33)*K9*$D$1</s:f>
        <s:v>0</s:v>
      </s:c>
      <s:c r="L30" s="237">
        <s:f>SUM(L31:L33)*L9*$D$1</s:f>
        <s:v>0</s:v>
      </s:c>
      <s:c r="M30" s="237">
        <s:f>SUM(M31:M33)*M9*$D$1</s:f>
        <s:v>0</s:v>
      </s:c>
      <s:c r="N30" s="237">
        <s:f>SUM(N31:N33)*N9*$D$1</s:f>
        <s:v>0</s:v>
      </s:c>
      <s:c r="O30" s="237">
        <s:f>SUM(O31:O33)*O9*$D$1</s:f>
        <s:v>0</s:v>
      </s:c>
      <s:c r="P30" s="237">
        <s:f>SUM(P31:P33)*P9*$D$1</s:f>
        <s:v>0</s:v>
      </s:c>
      <s:c r="Q30" s="234">
        <s:f>SUMIFS(E30:P30,$E$3:$P$3,"&gt;=" &amp; $B$1)</s:f>
        <s:v>0</s:v>
      </s:c>
      <s:c r="R30" s="235">
        <s:f>Q30+D30</s:f>
        <s:v>0</s:v>
      </s:c>
      <s:c r="S30" s="235">
        <s:f>Q30+C30</s:f>
        <s:v>0</s:v>
      </s:c>
      <s:c r="T30" s="211">
        <s:f ca="1">'Калькулятор бюджета по этапам'!M25</s:f>
        <s:v>0</s:v>
      </s:c>
    </s:row>
    <s:row r="31" spans="1:20" s="231" customFormat="1" outlineLevel="2">
      <s:c r="A31" s="199" t="s">
        <s:v>42</s:v>
      </s:c>
      <s:c r="B31" s="219">
        <s:v>0</s:v>
      </s:c>
      <s:c r="C31" s="200">
        <s:f>B31+D31</s:f>
        <s:v>0</s:v>
      </s:c>
      <s:c r="D31" s="201">
        <s:f>SUMIFS(E31:P31,$E$3:$P$3,"&lt;" &amp; $B$1)</s:f>
        <s:v>0</s:v>
      </s:c>
      <s:c r="E31" s="220">
        <s:v>0</s:v>
      </s:c>
      <s:c r="F31" s="219">
        <s:v>0</s:v>
      </s:c>
      <s:c r="G31" s="219">
        <s:v>0</s:v>
      </s:c>
      <s:c r="H31" s="219">
        <s:v>0</s:v>
      </s:c>
      <s:c r="I31" s="219">
        <s:v>0</s:v>
      </s:c>
      <s:c r="J31" s="219">
        <s:v>0</s:v>
      </s:c>
      <s:c r="K31" s="219">
        <s:v>0</s:v>
      </s:c>
      <s:c r="L31" s="219">
        <s:v>0</s:v>
      </s:c>
      <s:c r="M31" s="219">
        <s:v>0</s:v>
      </s:c>
      <s:c r="N31" s="219">
        <s:v>0</s:v>
      </s:c>
      <s:c r="O31" s="219">
        <s:v>0</s:v>
      </s:c>
      <s:c r="P31" s="221">
        <s:v>0</s:v>
      </s:c>
      <s:c r="Q31" s="203">
        <s:f>SUMIFS(E31:P31,$E$3:$P$3,"&gt;=" &amp; $B$1)</s:f>
        <s:v>0</s:v>
      </s:c>
      <s:c r="R31" s="204">
        <s:f>Q31+D31</s:f>
        <s:v>0</s:v>
      </s:c>
      <s:c r="S31" s="204">
        <s:f>Q31+C31</s:f>
        <s:v>0</s:v>
      </s:c>
      <s:c r="T31" s="213">
        <s:f ca="1">'Калькулятор бюджета по этапам'!M26</s:f>
        <s:v>0</s:v>
      </s:c>
    </s:row>
    <s:row r="32" spans="1:20" s="231" customFormat="1" outlineLevel="2">
      <s:c r="A32" s="199" t="s">
        <s:v>43</s:v>
      </s:c>
      <s:c r="B32" s="219">
        <s:v>0</s:v>
      </s:c>
      <s:c r="C32" s="200">
        <s:f>B32+D32</s:f>
        <s:v>0</s:v>
      </s:c>
      <s:c r="D32" s="201">
        <s:f>SUMIFS(E32:P32,$E$3:$P$3,"&lt;" &amp; $B$1)</s:f>
        <s:v>0</s:v>
      </s:c>
      <s:c r="E32" s="220">
        <s:v>0</s:v>
      </s:c>
      <s:c r="F32" s="219">
        <s:v>0</s:v>
      </s:c>
      <s:c r="G32" s="219">
        <s:v>0</s:v>
      </s:c>
      <s:c r="H32" s="219">
        <s:v>0</s:v>
      </s:c>
      <s:c r="I32" s="219">
        <s:v>0</s:v>
      </s:c>
      <s:c r="J32" s="219">
        <s:v>0</s:v>
      </s:c>
      <s:c r="K32" s="219">
        <s:v>0</s:v>
      </s:c>
      <s:c r="L32" s="219">
        <s:v>0</s:v>
      </s:c>
      <s:c r="M32" s="219">
        <s:v>0</s:v>
      </s:c>
      <s:c r="N32" s="219">
        <s:v>0</s:v>
      </s:c>
      <s:c r="O32" s="219">
        <s:v>0</s:v>
      </s:c>
      <s:c r="P32" s="221">
        <s:v>0</s:v>
      </s:c>
      <s:c r="Q32" s="203">
        <s:f>SUMIFS(E32:P32,$E$3:$P$3,"&gt;=" &amp; $B$1)</s:f>
        <s:v>0</s:v>
      </s:c>
      <s:c r="R32" s="204">
        <s:f>Q32+D32</s:f>
        <s:v>0</s:v>
      </s:c>
      <s:c r="S32" s="204">
        <s:f>Q32+C32</s:f>
        <s:v>0</s:v>
      </s:c>
      <s:c r="T32" s="213">
        <s:f ca="1">'Калькулятор бюджета по этапам'!M27</s:f>
        <s:v>0</s:v>
      </s:c>
    </s:row>
    <s:row r="33">
      <s:c r="A33" s="199" t="s">
        <s:v>44</s:v>
      </s:c>
      <s:c r="B33" s="219">
        <s:v>0</s:v>
      </s:c>
      <s:c r="C33" s="200">
        <s:f>B33+D33</s:f>
        <s:v>0</s:v>
      </s:c>
      <s:c r="D33" s="201">
        <s:f>SUMIFS(E33:P33,$E$3:$P$3,"&lt;" &amp; $B$1)</s:f>
        <s:v>0</s:v>
      </s:c>
      <s:c r="E33" s="220">
        <s:v>0</s:v>
      </s:c>
      <s:c r="F33" s="219">
        <s:v>0</s:v>
      </s:c>
      <s:c r="G33" s="219">
        <s:v>0</s:v>
      </s:c>
      <s:c r="H33" s="219">
        <s:v>0</s:v>
      </s:c>
      <s:c r="I33" s="219">
        <s:v>0</s:v>
      </s:c>
      <s:c r="J33" s="219">
        <s:v>0</s:v>
      </s:c>
      <s:c r="K33" s="219">
        <s:v>0</s:v>
      </s:c>
      <s:c r="L33" s="219">
        <s:v>0</s:v>
      </s:c>
      <s:c r="M33" s="219">
        <s:v>0</s:v>
      </s:c>
      <s:c r="N33" s="219">
        <s:v>0</s:v>
      </s:c>
      <s:c r="O33" s="219">
        <s:v>0</s:v>
      </s:c>
      <s:c r="P33" s="221">
        <s:v>0</s:v>
      </s:c>
      <s:c r="Q33" s="203">
        <s:f>SUMIFS(E33:P33,$E$3:$P$3,"&gt;=" &amp; $B$1)</s:f>
        <s:v>0</s:v>
      </s:c>
      <s:c r="R33" s="204">
        <s:f>Q33+D33</s:f>
        <s:v>0</s:v>
      </s:c>
      <s:c r="S33" s="204">
        <s:f>Q33+C33</s:f>
        <s:v>0</s:v>
      </s:c>
      <s:c r="T33" s="213">
        <s:f ca="1">'Калькулятор бюджета по этапам'!M28</s:f>
        <s:v>0</s:v>
      </s:c>
    </s:row>
    <s:row r="34" spans="1:20" s="238" customFormat="1" ht="12">
      <s:c r="A34" s="239" t="s">
        <s:v>46</s:v>
      </s:c>
      <s:c r="B34" s="223">
        <s:f>SUM(B35:B37)</s:f>
        <s:v>0</s:v>
      </s:c>
      <s:c r="C34" s="223">
        <s:f>SUM(C35:C37)</s:f>
        <s:v>0</s:v>
      </s:c>
      <s:c r="D34" s="224">
        <s:f>SUM(D35:D37)</s:f>
        <s:v>0</s:v>
      </s:c>
      <s:c r="E34" s="225">
        <s:f ca="1">SUM(E35:E37)</s:f>
        <s:v>0</s:v>
      </s:c>
      <s:c r="F34" s="223">
        <s:f ca="1">SUM(F35:F37)</s:f>
        <s:v>0</s:v>
      </s:c>
      <s:c r="G34" s="223">
        <s:f ca="1">SUM(G35:G37)</s:f>
        <s:v>0</s:v>
      </s:c>
      <s:c r="H34" s="223">
        <s:f ca="1">SUM(H35:H37)</s:f>
        <s:v>0</s:v>
      </s:c>
      <s:c r="I34" s="223">
        <s:f ca="1">SUM(I35:I37)</s:f>
        <s:v>0</s:v>
      </s:c>
      <s:c r="J34" s="223">
        <s:f ca="1">SUM(J35:J37)</s:f>
        <s:v>0</s:v>
      </s:c>
      <s:c r="K34" s="223">
        <s:f ca="1">SUM(K35:K37)</s:f>
        <s:v>0</s:v>
      </s:c>
      <s:c r="L34" s="223">
        <s:f ca="1">SUM(L35:L37)</s:f>
        <s:v>0</s:v>
      </s:c>
      <s:c r="M34" s="223">
        <s:f ca="1">SUM(M35:M37)</s:f>
        <s:v>0</s:v>
      </s:c>
      <s:c r="N34" s="223">
        <s:f ca="1">SUM(N35:N37)</s:f>
        <s:v>0</s:v>
      </s:c>
      <s:c r="O34" s="223">
        <s:f ca="1">SUM(O35:O37)</s:f>
        <s:v>0</s:v>
      </s:c>
      <s:c r="P34" s="226">
        <s:f ca="1">SUM(P35:P37)</s:f>
        <s:v>0</s:v>
      </s:c>
      <s:c r="Q34" s="227">
        <s:f ca="1">SUM(Q35:Q37)</s:f>
        <s:v>0</s:v>
      </s:c>
      <s:c r="R34" s="223">
        <s:f ca="1">SUM(R35:R37)</s:f>
        <s:v>0</s:v>
      </s:c>
      <s:c r="S34" s="223">
        <s:f ca="1">SUM(S35:S37)</s:f>
        <s:v>0</s:v>
      </s:c>
      <s:c r="T34" s="240">
        <s:f ca="1">'Калькулятор бюджета по этапам'!M29</s:f>
        <s:v>0</s:v>
      </s:c>
    </s:row>
    <s:row r="35" spans="1:20" s="198" customFormat="1" outlineLevel="1">
      <s:c r="A35" s="241" t="s">
        <s:v>39</s:v>
      </s:c>
      <s:c r="B35" s="204">
        <s:f>B16-B22</s:f>
        <s:v>0</s:v>
      </s:c>
      <s:c r="C35" s="204">
        <s:f>C16-C22</s:f>
        <s:v>0</s:v>
      </s:c>
      <s:c r="D35" s="242">
        <s:f>D16-D22</s:f>
        <s:v>0</s:v>
      </s:c>
      <s:c r="E35" s="202">
        <s:f ca="1">E12-E22</s:f>
        <s:v>0</s:v>
      </s:c>
      <s:c r="F35" s="202">
        <s:f ca="1">F12-F22</s:f>
        <s:v>0</s:v>
      </s:c>
      <s:c r="G35" s="202">
        <s:f ca="1">G12-G22</s:f>
        <s:v>0</s:v>
      </s:c>
      <s:c r="H35" s="202">
        <s:f ca="1">H12-H22</s:f>
        <s:v>0</s:v>
      </s:c>
      <s:c r="I35" s="202">
        <s:f ca="1">I12-I22</s:f>
        <s:v>0</s:v>
      </s:c>
      <s:c r="J35" s="202">
        <s:f ca="1">J12-J22</s:f>
        <s:v>0</s:v>
      </s:c>
      <s:c r="K35" s="202">
        <s:f ca="1">K12-K22</s:f>
        <s:v>0</s:v>
      </s:c>
      <s:c r="L35" s="202">
        <s:f ca="1">L12-L22</s:f>
        <s:v>0</s:v>
      </s:c>
      <s:c r="M35" s="202">
        <s:f ca="1">M12-M22</s:f>
        <s:v>0</s:v>
      </s:c>
      <s:c r="N35" s="202">
        <s:f ca="1">N12-N22</s:f>
        <s:v>0</s:v>
      </s:c>
      <s:c r="O35" s="202">
        <s:f ca="1">O12-O22</s:f>
        <s:v>0</s:v>
      </s:c>
      <s:c r="P35" s="202">
        <s:f ca="1">P12-P22</s:f>
        <s:v>0</s:v>
      </s:c>
      <s:c r="Q35" s="203">
        <s:f ca="1">SUMIFS(E35:P35,$E$3:$P$3,"&gt;=" &amp; $B$1)</s:f>
        <s:v>0</s:v>
      </s:c>
      <s:c r="R35" s="204">
        <s:f ca="1">Q35+D35</s:f>
        <s:v>0</s:v>
      </s:c>
      <s:c r="S35" s="204">
        <s:f ca="1">Q35+C35</s:f>
        <s:v>0</s:v>
      </s:c>
      <s:c r="T35" s="243">
        <s:f ca="1">'Калькулятор бюджета по этапам'!M30</s:f>
        <s:v>0</s:v>
      </s:c>
    </s:row>
    <s:row r="36">
      <s:c r="A36" s="241" t="s">
        <s:v>36</s:v>
      </s:c>
      <s:c r="B36" s="244">
        <s:f>B17-B26</s:f>
        <s:v>0</s:v>
      </s:c>
      <s:c r="C36" s="244">
        <s:f>C17-C26</s:f>
        <s:v>0</s:v>
      </s:c>
      <s:c r="D36" s="245">
        <s:f>D17-D26</s:f>
        <s:v>0</s:v>
      </s:c>
      <s:c r="E36" s="246">
        <s:f ca="1">E13-E26</s:f>
        <s:v>0</s:v>
      </s:c>
      <s:c r="F36" s="246">
        <s:f ca="1">F13-F26</s:f>
        <s:v>0</s:v>
      </s:c>
      <s:c r="G36" s="246">
        <s:f ca="1">G13-G26</s:f>
        <s:v>0</s:v>
      </s:c>
      <s:c r="H36" s="246">
        <s:f ca="1">H13-H26</s:f>
        <s:v>0</s:v>
      </s:c>
      <s:c r="I36" s="246">
        <s:f>I13-I26</s:f>
        <s:v>0</s:v>
      </s:c>
      <s:c r="J36" s="246">
        <s:f>J13-J26</s:f>
        <s:v>0</s:v>
      </s:c>
      <s:c r="K36" s="246">
        <s:f>K13-K26</s:f>
        <s:v>0</s:v>
      </s:c>
      <s:c r="L36" s="246">
        <s:f>L13-L26</s:f>
        <s:v>0</s:v>
      </s:c>
      <s:c r="M36" s="246">
        <s:f>M13-M26</s:f>
        <s:v>0</s:v>
      </s:c>
      <s:c r="N36" s="246">
        <s:f>N13-N26</s:f>
        <s:v>0</s:v>
      </s:c>
      <s:c r="O36" s="246">
        <s:f>O13-O26</s:f>
        <s:v>0</s:v>
      </s:c>
      <s:c r="P36" s="246">
        <s:f>P13-P26</s:f>
        <s:v>0</s:v>
      </s:c>
      <s:c r="Q36" s="203">
        <s:f ca="1">SUMIFS(E36:P36,$E$3:$P$3,"&gt;=" &amp; $B$1)</s:f>
        <s:v>0</s:v>
      </s:c>
      <s:c r="R36" s="204">
        <s:f ca="1">Q36+D36</s:f>
        <s:v>0</s:v>
      </s:c>
      <s:c r="S36" s="204">
        <s:f ca="1">Q36+C36</s:f>
        <s:v>0</s:v>
      </s:c>
      <s:c r="T36" s="247">
        <s:f ca="1">'Калькулятор бюджета по этапам'!M31</s:f>
        <s:v>0</s:v>
      </s:c>
    </s:row>
    <s:row r="37">
      <s:c r="A37" s="241" t="s">
        <s:v>37</s:v>
      </s:c>
      <s:c r="B37" s="244">
        <s:f>B18-B30</s:f>
        <s:v>0</s:v>
      </s:c>
      <s:c r="C37" s="244">
        <s:f>C18-C30</s:f>
        <s:v>0</s:v>
      </s:c>
      <s:c r="D37" s="245">
        <s:f>D18-D30</s:f>
        <s:v>0</s:v>
      </s:c>
      <s:c r="E37" s="246">
        <s:f ca="1">E14-E30</s:f>
        <s:v>0</s:v>
      </s:c>
      <s:c r="F37" s="246">
        <s:f ca="1">F14-F30</s:f>
        <s:v>0</s:v>
      </s:c>
      <s:c r="G37" s="246">
        <s:f ca="1">G14-G30</s:f>
        <s:v>0</s:v>
      </s:c>
      <s:c r="H37" s="246">
        <s:f ca="1">H14-H30</s:f>
        <s:v>0</s:v>
      </s:c>
      <s:c r="I37" s="246">
        <s:f>I14-I30</s:f>
        <s:v>0</s:v>
      </s:c>
      <s:c r="J37" s="246">
        <s:f>J14-J30</s:f>
        <s:v>0</s:v>
      </s:c>
      <s:c r="K37" s="246">
        <s:f>K14-K30</s:f>
        <s:v>0</s:v>
      </s:c>
      <s:c r="L37" s="246">
        <s:f>L14-L30</s:f>
        <s:v>0</s:v>
      </s:c>
      <s:c r="M37" s="246">
        <s:f>M14-M30</s:f>
        <s:v>0</s:v>
      </s:c>
      <s:c r="N37" s="246">
        <s:f>N14-N30</s:f>
        <s:v>0</s:v>
      </s:c>
      <s:c r="O37" s="246">
        <s:f>O14-O30</s:f>
        <s:v>0</s:v>
      </s:c>
      <s:c r="P37" s="246">
        <s:f>P14-P30</s:f>
        <s:v>0</s:v>
      </s:c>
      <s:c r="Q37" s="203">
        <s:f ca="1">SUMIFS(E37:P37,$E$3:$P$3,"&gt;=" &amp; $B$1)</s:f>
        <s:v>0</s:v>
      </s:c>
      <s:c r="R37" s="204">
        <s:f ca="1">Q37+D37</s:f>
        <s:v>0</s:v>
      </s:c>
      <s:c r="S37" s="204">
        <s:f ca="1">Q37+C37</s:f>
        <s:v>0</s:v>
      </s:c>
      <s:c r="T37" s="247">
        <s:f ca="1">'Калькулятор бюджета по этапам'!M32</s:f>
        <s:v>0</s:v>
      </s:c>
    </s:row>
    <s:row r="38" spans="1:20" s="238" customFormat="1" ht="12">
      <s:c r="A38" s="239" t="s">
        <s:v>47</s:v>
      </s:c>
      <s:c r="B38" s="248" t="str">
        <s:f>IF(B11&gt;0,B34/B11,"")</s:f>
        <s:v/>
      </s:c>
      <s:c r="C38" s="248" t="str">
        <s:f>IF(C11&gt;0,C34/C11,"")</s:f>
        <s:v/>
      </s:c>
      <s:c r="D38" s="249" t="str">
        <s:f>IF(D11&gt;0,D34/D11,"")</s:f>
        <s:v/>
      </s:c>
      <s:c r="E38" s="250" t="str">
        <s:f ca="1">IF(E11&gt;0,E34/E11,"")</s:f>
        <s:v/>
      </s:c>
      <s:c r="F38" s="248" t="str">
        <s:f ca="1">IF(F11&gt;0,F34/F11,"")</s:f>
        <s:v/>
      </s:c>
      <s:c r="G38" s="248" t="str">
        <s:f ca="1">IF(G11&gt;0,G34/G11,"")</s:f>
        <s:v/>
      </s:c>
      <s:c r="H38" s="248" t="str">
        <s:f ca="1">IF(H11&gt;0,H34/H11,"")</s:f>
        <s:v/>
      </s:c>
      <s:c r="I38" s="248" t="str">
        <s:f>IF(I11&gt;0,I34/I11,"")</s:f>
        <s:v/>
      </s:c>
      <s:c r="J38" s="248" t="str">
        <s:f>IF(J11&gt;0,J34/J11,"")</s:f>
        <s:v/>
      </s:c>
      <s:c r="K38" s="248" t="str">
        <s:f>IF(K11&gt;0,K34/K11,"")</s:f>
        <s:v/>
      </s:c>
      <s:c r="L38" s="248" t="str">
        <s:f>IF(L11&gt;0,L34/L11,"")</s:f>
        <s:v/>
      </s:c>
      <s:c r="M38" s="248" t="str">
        <s:f>IF(M11&gt;0,M34/M11,"")</s:f>
        <s:v/>
      </s:c>
      <s:c r="N38" s="248" t="str">
        <s:f>IF(N11&gt;0,N34/N11,"")</s:f>
        <s:v/>
      </s:c>
      <s:c r="O38" s="248" t="str">
        <s:f>IF(O11&gt;0,O34/O11,"")</s:f>
        <s:v/>
      </s:c>
      <s:c r="P38" s="251" t="str">
        <s:f>IF(P11&gt;0,P34/P11,"")</s:f>
        <s:v/>
      </s:c>
      <s:c r="Q38" s="252" t="str">
        <s:f ca="1">IF(Q11&gt;0,Q34/Q11,"")</s:f>
        <s:v/>
      </s:c>
      <s:c r="R38" s="248" t="str">
        <s:f ca="1">IF(R11&gt;0,R34/R11,"")</s:f>
        <s:v/>
      </s:c>
      <s:c r="S38" s="248" t="str">
        <s:f ca="1">IF(S11&gt;0,S34/S11,"")</s:f>
        <s:v/>
      </s:c>
      <s:c r="T38" s="253" t="str">
        <s:f ca="1">IF(T15&gt;0,T34/T15,"")</s:f>
        <s:v/>
      </s:c>
    </s:row>
    <s:row r="39" spans="1:20" s="198" customFormat="1" outlineLevel="1">
      <s:c r="A39" s="241" t="s">
        <s:v>114</s:v>
      </s:c>
      <s:c r="B39" s="254" t="str">
        <s:f>IF(B16&gt;0,B35/B16,"")</s:f>
        <s:v/>
      </s:c>
      <s:c r="C39" s="254" t="str">
        <s:f>IF(C16&gt;0,C35/C16,"")</s:f>
        <s:v/>
      </s:c>
      <s:c r="D39" s="255" t="str">
        <s:f>IF(D16&gt;0,D35/D16,"")</s:f>
        <s:v/>
      </s:c>
      <s:c r="E39" s="256" t="str">
        <s:f ca="1">IF(E12&gt;0,E35/E12,"")</s:f>
        <s:v/>
      </s:c>
      <s:c r="F39" s="254" t="str">
        <s:f ca="1">IF(F12&gt;0,F35/F12,"")</s:f>
        <s:v/>
      </s:c>
      <s:c r="G39" s="254" t="str">
        <s:f ca="1">IF(G12&gt;0,G35/G12,"")</s:f>
        <s:v/>
      </s:c>
      <s:c r="H39" s="254" t="str">
        <s:f ca="1">IF(H12&gt;0,H35/H12,"")</s:f>
        <s:v/>
      </s:c>
      <s:c r="I39" s="254" t="str">
        <s:f>IF(I12&gt;0,I35/I12,"")</s:f>
        <s:v/>
      </s:c>
      <s:c r="J39" s="254" t="str">
        <s:f>IF(J12&gt;0,J35/J12,"")</s:f>
        <s:v/>
      </s:c>
      <s:c r="K39" s="254" t="str">
        <s:f>IF(K12&gt;0,K35/K12,"")</s:f>
        <s:v/>
      </s:c>
      <s:c r="L39" s="254" t="str">
        <s:f>IF(L12&gt;0,L35/L12,"")</s:f>
        <s:v/>
      </s:c>
      <s:c r="M39" s="254" t="str">
        <s:f>IF(M12&gt;0,M35/M12,"")</s:f>
        <s:v/>
      </s:c>
      <s:c r="N39" s="254" t="str">
        <s:f>IF(N12&gt;0,N35/N12,"")</s:f>
        <s:v/>
      </s:c>
      <s:c r="O39" s="254" t="str">
        <s:f>IF(O12&gt;0,O35/O12,"")</s:f>
        <s:v/>
      </s:c>
      <s:c r="P39" s="257" t="str">
        <s:f>IF(P12&gt;0,P35/P12,"")</s:f>
        <s:v/>
      </s:c>
      <s:c r="Q39" s="258" t="str">
        <s:f ca="1">IF(Q12&gt;0,Q35/Q12,"")</s:f>
        <s:v/>
      </s:c>
      <s:c r="R39" s="254" t="str">
        <s:f ca="1">IF(R12&gt;0,R35/R12,"")</s:f>
        <s:v/>
      </s:c>
      <s:c r="S39" s="254" t="str">
        <s:f ca="1">IF(S12&gt;0,S35/S12,"")</s:f>
        <s:v/>
      </s:c>
      <s:c r="T39" s="259" t="str">
        <s:f ca="1">IF(T16&gt;0,T35/T16,"")</s:f>
        <s:v/>
      </s:c>
    </s:row>
    <s:row r="40">
      <s:c r="A40" s="241" t="s">
        <s:v>115</s:v>
      </s:c>
      <s:c r="B40" s="260" t="str">
        <s:f>IF(B17&gt;0,B36/B17,"")</s:f>
        <s:v/>
      </s:c>
      <s:c r="C40" s="260" t="str">
        <s:f>IF(C17&gt;0,C36/C17,"")</s:f>
        <s:v/>
      </s:c>
      <s:c r="D40" s="261" t="str">
        <s:f>IF(D17&gt;0,D36/D17,"")</s:f>
        <s:v/>
      </s:c>
      <s:c r="E40" s="256" t="str">
        <s:f ca="1">IF(E13&gt;0,E36/E13,"")</s:f>
        <s:v/>
      </s:c>
      <s:c r="F40" s="254" t="str">
        <s:f ca="1">IF(F13&gt;0,F36/F13,"")</s:f>
        <s:v/>
      </s:c>
      <s:c r="G40" s="254" t="str">
        <s:f ca="1">IF(G13&gt;0,G36/G13,"")</s:f>
        <s:v/>
      </s:c>
      <s:c r="H40" s="254" t="str">
        <s:f ca="1">IF(H13&gt;0,H36/H13,"")</s:f>
        <s:v/>
      </s:c>
      <s:c r="I40" s="254" t="str">
        <s:f>IF(I13&gt;0,I36/I13,"")</s:f>
        <s:v/>
      </s:c>
      <s:c r="J40" s="254" t="str">
        <s:f>IF(J13&gt;0,J36/J13,"")</s:f>
        <s:v/>
      </s:c>
      <s:c r="K40" s="254" t="str">
        <s:f>IF(K13&gt;0,K36/K13,"")</s:f>
        <s:v/>
      </s:c>
      <s:c r="L40" s="254" t="str">
        <s:f>IF(L13&gt;0,L36/L13,"")</s:f>
        <s:v/>
      </s:c>
      <s:c r="M40" s="254" t="str">
        <s:f>IF(M13&gt;0,M36/M13,"")</s:f>
        <s:v/>
      </s:c>
      <s:c r="N40" s="254" t="str">
        <s:f>IF(N13&gt;0,N36/N13,"")</s:f>
        <s:v/>
      </s:c>
      <s:c r="O40" s="254" t="str">
        <s:f>IF(O13&gt;0,O36/O13,"")</s:f>
        <s:v/>
      </s:c>
      <s:c r="P40" s="257" t="str">
        <s:f>IF(P13&gt;0,P36/P13,"")</s:f>
        <s:v/>
      </s:c>
      <s:c r="Q40" s="258" t="str">
        <s:f ca="1">IF(Q13&gt;0,Q36/Q13,"")</s:f>
        <s:v/>
      </s:c>
      <s:c r="R40" s="254" t="str">
        <s:f ca="1">IF(R13&gt;0,R36/R13,"")</s:f>
        <s:v/>
      </s:c>
      <s:c r="S40" s="254" t="str">
        <s:f ca="1">IF(S13&gt;0,S36/S13,"")</s:f>
        <s:v/>
      </s:c>
      <s:c r="T40" s="259" t="str">
        <s:f ca="1">IF(T17&gt;0,T36/T17,"")</s:f>
        <s:v/>
      </s:c>
    </s:row>
    <s:row r="41">
      <s:c r="A41" s="241" t="s">
        <s:v>116</s:v>
      </s:c>
      <s:c r="B41" s="260" t="str">
        <s:f>IF(B18&gt;0,B37/B18,"")</s:f>
        <s:v/>
      </s:c>
      <s:c r="C41" s="260" t="str">
        <s:f>IF(C18&gt;0,C37/C18,"")</s:f>
        <s:v/>
      </s:c>
      <s:c r="D41" s="261" t="str">
        <s:f>IF(D18&gt;0,D37/D18,"")</s:f>
        <s:v/>
      </s:c>
      <s:c r="E41" s="256" t="str">
        <s:f ca="1">IF(E14&gt;0,E37/E14,"")</s:f>
        <s:v/>
      </s:c>
      <s:c r="F41" s="254" t="str">
        <s:f ca="1">IF(F14&gt;0,F37/F14,"")</s:f>
        <s:v/>
      </s:c>
      <s:c r="G41" s="254" t="str">
        <s:f ca="1">IF(G14&gt;0,G37/G14,"")</s:f>
        <s:v/>
      </s:c>
      <s:c r="H41" s="254" t="str">
        <s:f ca="1">IF(H14&gt;0,H37/H14,"")</s:f>
        <s:v/>
      </s:c>
      <s:c r="I41" s="254" t="str">
        <s:f>IF(I14&gt;0,I37/I14,"")</s:f>
        <s:v/>
      </s:c>
      <s:c r="J41" s="254" t="str">
        <s:f>IF(J14&gt;0,J37/J14,"")</s:f>
        <s:v/>
      </s:c>
      <s:c r="K41" s="254" t="str">
        <s:f>IF(K14&gt;0,K37/K14,"")</s:f>
        <s:v/>
      </s:c>
      <s:c r="L41" s="254" t="str">
        <s:f>IF(L14&gt;0,L37/L14,"")</s:f>
        <s:v/>
      </s:c>
      <s:c r="M41" s="254" t="str">
        <s:f>IF(M14&gt;0,M37/M14,"")</s:f>
        <s:v/>
      </s:c>
      <s:c r="N41" s="254" t="str">
        <s:f>IF(N14&gt;0,N37/N14,"")</s:f>
        <s:v/>
      </s:c>
      <s:c r="O41" s="254" t="str">
        <s:f>IF(O14&gt;0,O37/O14,"")</s:f>
        <s:v/>
      </s:c>
      <s:c r="P41" s="257" t="str">
        <s:f>IF(P14&gt;0,P37/P14,"")</s:f>
        <s:v/>
      </s:c>
      <s:c r="Q41" s="258" t="str">
        <s:f ca="1">IF(Q14&gt;0,Q37/Q14,"")</s:f>
        <s:v/>
      </s:c>
      <s:c r="R41" s="254" t="str">
        <s:f ca="1">IF(R14&gt;0,R37/R14,"")</s:f>
        <s:v/>
      </s:c>
      <s:c r="S41" s="254" t="str">
        <s:f ca="1">IF(S14&gt;0,S37/S14,"")</s:f>
        <s:v/>
      </s:c>
      <s:c r="T41" s="259" t="str">
        <s:f ca="1">IF(T18&gt;0,T37/T18,"")</s:f>
        <s:v/>
      </s:c>
    </s:row>
    <s:row r="42" spans="1:20" s="262" customFormat="1" ht="13.8">
      <s:c r="A42" s="263" t="s">
        <s:v>117</s:v>
      </s:c>
      <s:c r="B42" s="264">
        <s:f>B11-B21</s:f>
        <s:v>0</s:v>
      </s:c>
      <s:c r="C42" s="265"/>
      <s:c r="D42" s="266"/>
      <s:c r="E42" s="267">
        <s:f ca="1">B42+E11-E21</s:f>
        <s:v>0</s:v>
      </s:c>
      <s:c r="F42" s="268">
        <s:f ca="1">E42+F11-F21</s:f>
        <s:v>0</s:v>
      </s:c>
      <s:c r="G42" s="268">
        <s:f ca="1">F42+G11-G21</s:f>
        <s:v>0</s:v>
      </s:c>
      <s:c r="H42" s="268">
        <s:f ca="1">G42+H11-H21</s:f>
        <s:v>0</s:v>
      </s:c>
      <s:c r="I42" s="268">
        <s:f ca="1">H42+I11-I21</s:f>
        <s:v>0</s:v>
      </s:c>
      <s:c r="J42" s="268">
        <s:f ca="1">I42+J11-J21</s:f>
        <s:v>0</s:v>
      </s:c>
      <s:c r="K42" s="268">
        <s:f ca="1">J42+K11-K21</s:f>
        <s:v>0</s:v>
      </s:c>
      <s:c r="L42" s="268">
        <s:f ca="1">K42+L11-L21</s:f>
        <s:v>0</s:v>
      </s:c>
      <s:c r="M42" s="268">
        <s:f ca="1">L42+M11-M21</s:f>
        <s:v>0</s:v>
      </s:c>
      <s:c r="N42" s="268">
        <s:f ca="1">M42+N11-N21</s:f>
        <s:v>0</s:v>
      </s:c>
      <s:c r="O42" s="268">
        <s:f ca="1">N42+O11-O21</s:f>
        <s:v>0</s:v>
      </s:c>
      <s:c r="P42" s="269">
        <s:f ca="1">O42+P11-P21</s:f>
        <s:v>0</s:v>
      </s:c>
      <s:c r="Q42" s="270"/>
      <s:c r="R42" s="265"/>
      <s:c r="S42" s="264">
        <s:f ca="1">P42</s:f>
        <s:v>0</s:v>
      </s:c>
      <s:c r="T42" s="271"/>
    </s:row>
  </s:sheetData>
  <s:conditionalFormatting sqref="B42 E42:F42 H42:P42">
    <s:cfRule type="cellIs" dxfId="11" priority="18" stopIfTrue="1" operator="lessThan">
      <s:formula>0</s:formula>
    </s:cfRule>
  </s:conditionalFormatting>
  <s:conditionalFormatting sqref="B38:F41 S42">
    <s:cfRule type="cellIs" dxfId="10" priority="23" stopIfTrue="1" operator="lessThan">
      <s:formula>0</s:formula>
    </s:cfRule>
  </s:conditionalFormatting>
  <s:conditionalFormatting sqref="B34:T37">
    <s:cfRule type="cellIs" dxfId="9" priority="3" stopIfTrue="1" operator="lessThan">
      <s:formula>0</s:formula>
    </s:cfRule>
  </s:conditionalFormatting>
  <s:conditionalFormatting sqref="E3:P3">
    <s:cfRule type="cellIs" dxfId="8" priority="4" stopIfTrue="1" operator="lessThan">
      <s:formula>$B$1</s:formula>
    </s:cfRule>
    <s:cfRule type="cellIs" dxfId="7" priority="5" stopIfTrue="1" operator="greaterThanOrEqual">
      <s:formula>$B$1</s:formula>
    </s:cfRule>
  </s:conditionalFormatting>
  <s:conditionalFormatting sqref="G38:G42">
    <s:cfRule type="cellIs" dxfId="6" priority="1" stopIfTrue="1" operator="lessThan">
      <s:formula>0</s:formula>
    </s:cfRule>
  </s:conditionalFormatting>
  <s:conditionalFormatting sqref="H38:T41">
    <s:cfRule type="cellIs" dxfId="5" priority="21" stopIfTrue="1" operator="lessThan">
      <s:formula>0</s:formula>
    </s:cfRule>
  </s:conditionalFormatting>
  <s:dataValidations count="2">
    <s:dataValidation xr:uid="{00000000-0002-0000-0300-000000000000}" operator="equal" allowBlank="1" showInputMessage="1" showErrorMessage="1" sqref="B12:B20" vyd:viewType="arrow" mc:Ignorable="vyd"/>
    <s:dataValidation xr:uid="{00EC00BC-00AE-42F1-AE2A-00E000230054}" type="whole" operator="equal" allowBlank="1" showInputMessage="1" showErrorMessage="1" sqref="B6:D10" vyd:viewType="arrow" mc:Ignorable="vyd">
      <s:formula1>1</s:formula1>
    </s:dataValidation>
  </s:dataValidations>
  <s:pageMargins left="0.7" right="0.7" top="0.75" bottom="0.75" header="0.3" footer="0.3"/>
  <s:pageSetup paperSize="9" orientation="portrait"/>
</s:worksheet>
</file>

<file path=xl/worksheets/sheet10.xml><?xml version="1.0" encoding="utf-8"?>
<s:worksheet xmlns:mc="http://schemas.openxmlformats.org/markup-compatibility/2006" xmlns:xr3="http://schemas.microsoft.com/office/spreadsheetml/2016/revision3" xmlns:s="http://schemas.openxmlformats.org/spreadsheetml/2006/main" xmlns:xr2="http://schemas.microsoft.com/office/spreadsheetml/2015/revision2" xmlns:x14ac="http://schemas.microsoft.com/office/spreadsheetml/2009/9/ac" xmlns:vyd="http://volga.yandex.com/schemas/document/model" xmlns:xr="http://schemas.microsoft.com/office/spreadsheetml/2014/revision" mc:Ignorable="x14ac xr xr2 xr3" xr:uid="{1AC2FB7E-0DD0-4639-8E44-07CB3ACB38DB}">
  <s:sheetPr>
    <s:outlinePr summaryBelow="0" summaryRight="0"/>
    <s:pageSetUpPr fitToPage="1"/>
  </s:sheetPr>
  <s:dimension ref="B1:T154"/>
  <s:sheetViews>
    <s:sheetView showGridLines="0" tabSelected="0" zoomScale="55" zoomScaleNormal="55" workbookViewId="0">
      <s:selection activeCell="E26" sqref="E26"/>
    </s:sheetView>
  </s:sheetViews>
  <s:sheetFormatPr defaultColWidth="9.109" defaultRowHeight="11.4" outlineLevelRow="2"/>
  <s:cols>
    <s:col min="1" max="1" width="1.109" style="28" customWidth="1"/>
    <s:col min="2" max="2" width="15.777" style="28" customWidth="1"/>
    <s:col min="3" max="4" width="25.441" style="28" customWidth="1"/>
    <s:col min="5" max="7" width="24.441" style="28" customWidth="1"/>
    <s:col min="8" max="12" width="13.441" style="28" customWidth="1"/>
    <s:col min="13" max="13" width="17.777" style="28" customWidth="1"/>
    <s:col min="14" max="14" width="14.441" style="28" customWidth="1"/>
    <s:col min="15" max="15" width="14.777" style="28" customWidth="1"/>
    <s:col min="16" max="16" width="14.109" style="28" customWidth="1"/>
    <s:col min="17" max="18" width="14.777" style="28" customWidth="1"/>
    <s:col min="19" max="19" width="15.777" style="28" customWidth="1"/>
    <s:col min="20" max="16384" width="9.109" style="28"/>
  </s:cols>
  <s:sheetData>
    <s:row r="1" ht="15.6">
      <s:c r="B1" s="29" t="s">
        <s:v>137</s:v>
      </s:c>
    </s:row>
    <s:row r="2" spans="2:20" ht="14.25" customHeight="1" thickBot="1"/>
    <s:row r="3" spans="2:20" s="14" customFormat="1" ht="15.75" customHeight="1">
      <s:c r="B3" s="589" t="s">
        <s:v>29</s:v>
      </s:c>
      <s:c r="C3" s="590"/>
      <s:c r="D3" s="591"/>
      <s:c r="E3" s="595" t="s">
        <s:v>122</s:v>
      </s:c>
      <s:c r="F3" s="596"/>
      <s:c r="G3" s="596"/>
      <s:c r="H3" s="596"/>
      <s:c r="I3" s="596"/>
      <s:c r="J3" s="596"/>
      <s:c r="K3" s="596"/>
      <s:c r="L3" s="597"/>
      <s:c r="M3" s="598" t="s">
        <s:v>31</s:v>
      </s:c>
      <s:c r="N3" s="28"/>
      <s:c r="O3" s="28"/>
      <s:c r="P3" s="38"/>
      <s:c r="Q3" s="38"/>
      <s:c r="R3" s="38"/>
      <s:c r="S3" s="38"/>
      <s:c r="T3" s="38"/>
    </s:row>
    <s:row r="4" spans="2:20" s="296" customFormat="1" ht="48.75" customHeight="1" thickBot="1">
      <s:c r="B4" s="592"/>
      <s:c r="C4" s="593"/>
      <s:c r="D4" s="594"/>
      <s:c r="E4" s="297" t="s">
        <s:v>128</s:v>
      </s:c>
      <s:c r="F4" s="297" t="s">
        <s:v>132</s:v>
      </s:c>
      <s:c r="G4" s="297" t="s">
        <s:v>133</s:v>
      </s:c>
      <s:c r="H4" s="297"/>
      <s:c r="I4" s="297"/>
      <s:c r="J4" s="297"/>
      <s:c r="K4" s="297"/>
      <s:c r="L4" s="297"/>
      <s:c r="M4" s="599"/>
      <s:c r="N4" s="294"/>
      <s:c r="O4" s="294"/>
      <s:c r="P4" s="295"/>
      <s:c r="Q4" s="295"/>
      <s:c r="R4" s="295"/>
      <s:c r="S4" s="295"/>
      <s:c r="T4" s="295"/>
    </s:row>
    <s:row r="5" spans="2:20" s="14" customFormat="1" ht="15.75" customHeight="1">
      <s:c r="B5" s="600" t="s">
        <s:v>34</s:v>
      </s:c>
      <s:c r="C5" s="601"/>
      <s:c r="D5" s="602"/>
      <s:c r="E5" s="40">
        <s:f>SUM(E6:E8)</s:f>
        <s:v>0</s:v>
      </s:c>
      <s:c r="F5" s="41">
        <s:f>SUM(F6:F8)</s:f>
        <s:v>0</s:v>
      </s:c>
      <s:c r="G5" s="41">
        <s:f>SUM(G6:G8)</s:f>
        <s:v>0</s:v>
      </s:c>
      <s:c r="H5" s="41">
        <s:f>SUM(H6:H8)</s:f>
        <s:v>0</s:v>
      </s:c>
      <s:c r="I5" s="41">
        <s:f>SUM(I6:I8)</s:f>
        <s:v>0</s:v>
      </s:c>
      <s:c r="J5" s="41">
        <s:f>SUM(J6:J8)</s:f>
        <s:v>0</s:v>
      </s:c>
      <s:c r="K5" s="41">
        <s:f>SUM(K6:K8)</s:f>
        <s:v>0</s:v>
      </s:c>
      <s:c r="L5" s="41">
        <s:f>SUM(L6:L8)</s:f>
        <s:v>0</s:v>
      </s:c>
      <s:c r="M5" s="42">
        <s:f>SUM(E5:L5)</s:f>
        <s:v>0</s:v>
      </s:c>
      <s:c r="N5" s="28"/>
      <s:c r="O5" s="28"/>
      <s:c r="P5" s="38"/>
      <s:c r="Q5" s="38"/>
      <s:c r="R5" s="38"/>
      <s:c r="S5" s="38"/>
      <s:c r="T5" s="38"/>
    </s:row>
    <s:row r="6" spans="2:20" s="14" customFormat="1" ht="15.75" customHeight="1" outlineLevel="1">
      <s:c r="B6" s="603" t="s">
        <s:v>35</s:v>
      </s:c>
      <s:c r="C6" s="604"/>
      <s:c r="D6" s="605"/>
      <s:c r="E6" s="43">
        <s:f>IFERROR(SUMIF('Калькулятор бюджета по этапам'!$C$40:$C$71,E$4,'Калькулятор бюджета по этапам'!$I$40:$I$71),0)</s:f>
        <s:v>0</s:v>
      </s:c>
      <s:c r="F6" s="43">
        <s:f>IFERROR(SUMIF('Калькулятор бюджета по этапам'!$C$40:$C$71,F$4,'Калькулятор бюджета по этапам'!$I$40:$I$71),0)</s:f>
        <s:v>0</s:v>
      </s:c>
      <s:c r="G6" s="43">
        <s:f>IFERROR(SUMIF('Калькулятор бюджета по этапам'!$C$40:$C$71,G$4,'Калькулятор бюджета по этапам'!$I$40:$I$71),0)</s:f>
        <s:v>0</s:v>
      </s:c>
      <s:c r="H6" s="43">
        <s:f>IFERROR(SUMIF('Калькулятор бюджета по этапам'!$C$40:$C$71,H$4,'Калькулятор бюджета по этапам'!$I$40:$I$71),0)</s:f>
        <s:v>0</s:v>
      </s:c>
      <s:c r="I6" s="43">
        <s:f>IFERROR(SUMIF('Калькулятор бюджета по этапам'!$C$40:$C$71,I$4,'Калькулятор бюджета по этапам'!$I$40:$I$71),0)</s:f>
        <s:v>0</s:v>
      </s:c>
      <s:c r="J6" s="43">
        <s:f>IFERROR(SUMIF('Калькулятор бюджета по этапам'!$C$40:$C$71,J$4,'Калькулятор бюджета по этапам'!$I$40:$I$71),0)</s:f>
        <s:v>0</s:v>
      </s:c>
      <s:c r="K6" s="43">
        <s:f>IFERROR(SUMIF('Калькулятор бюджета по этапам'!$C$40:$C$71,K$4,'Калькулятор бюджета по этапам'!$I$40:$I$71),0)</s:f>
        <s:v>0</s:v>
      </s:c>
      <s:c r="L6" s="43">
        <s:f>IFERROR(SUMIF('Калькулятор бюджета по этапам'!$C$40:$C$71,L$4,'Калькулятор бюджета по этапам'!$I$40:$I$71),0)</s:f>
        <s:v>0</s:v>
      </s:c>
      <s:c r="M6" s="44">
        <s:f>SUM(E6:L6)</s:f>
        <s:v>0</s:v>
      </s:c>
      <s:c r="N6" s="28"/>
      <s:c r="O6" s="28"/>
    </s:row>
    <s:row r="7" spans="2:20" s="14" customFormat="1" ht="15.75" customHeight="1" outlineLevel="1">
      <s:c r="B7" s="603" t="s">
        <s:v>36</s:v>
      </s:c>
      <s:c r="C7" s="604"/>
      <s:c r="D7" s="605"/>
      <s:c r="E7" s="43">
        <s:f>IFERROR(SUMIF('Калькулятор бюджета по этапам'!$C$75:$C$86,E$4,'Калькулятор бюджета по этапам'!$I$75:$I$86),0)</s:f>
        <s:v>0</s:v>
      </s:c>
      <s:c r="F7" s="43">
        <s:f>IFERROR(SUMIF('Калькулятор бюджета по этапам'!$C$75:$C$86,F$4,'Калькулятор бюджета по этапам'!$I$75:$I$86),0)</s:f>
        <s:v>0</s:v>
      </s:c>
      <s:c r="G7" s="43">
        <s:f>IFERROR(SUMIF('Калькулятор бюджета по этапам'!$C$75:$C$86,G$4,'Калькулятор бюджета по этапам'!$I$75:$I$86),0)</s:f>
        <s:v>0</s:v>
      </s:c>
      <s:c r="H7" s="43">
        <s:f>IFERROR(SUMIF('Калькулятор бюджета по этапам'!$C$75:$C$86,H$4,'Калькулятор бюджета по этапам'!$I$75:$I$86),0)</s:f>
        <s:v>0</s:v>
      </s:c>
      <s:c r="I7" s="43">
        <s:f>IFERROR(SUMIF('Калькулятор бюджета по этапам'!$C$75:$C$86,I$4,'Калькулятор бюджета по этапам'!$I$75:$I$86),0)</s:f>
        <s:v>0</s:v>
      </s:c>
      <s:c r="J7" s="43">
        <s:f>IFERROR(SUMIF('Калькулятор бюджета по этапам'!$C$75:$C$86,J$4,'Калькулятор бюджета по этапам'!$I$75:$I$86),0)</s:f>
        <s:v>0</s:v>
      </s:c>
      <s:c r="K7" s="43">
        <s:f>IFERROR(SUMIF('Калькулятор бюджета по этапам'!$C$75:$C$86,K$4,'Калькулятор бюджета по этапам'!$I$75:$I$86),0)</s:f>
        <s:v>0</s:v>
      </s:c>
      <s:c r="L7" s="43">
        <s:f>IFERROR(SUMIF('Калькулятор бюджета по этапам'!$C$75:$C$86,L$4,'Калькулятор бюджета по этапам'!$I$75:$I$86),0)</s:f>
        <s:v>0</s:v>
      </s:c>
      <s:c r="M7" s="44">
        <s:f>SUM(E7:L7)</s:f>
        <s:v>0</s:v>
      </s:c>
      <s:c r="N7" s="28"/>
      <s:c r="O7" s="28"/>
    </s:row>
    <s:row r="8" spans="2:20" s="14" customFormat="1" ht="15.75" customHeight="1" outlineLevel="1">
      <s:c r="B8" s="603" t="s">
        <s:v>37</s:v>
      </s:c>
      <s:c r="C8" s="604"/>
      <s:c r="D8" s="605"/>
      <s:c r="E8" s="43">
        <s:f>IFERROR(SUMIF('Калькулятор бюджета по этапам'!$C$90:$C$101,E$4,'Калькулятор бюджета по этапам'!$I$90:$I$101),0)</s:f>
        <s:v>0</s:v>
      </s:c>
      <s:c r="F8" s="43">
        <s:f>IFERROR(SUMIF('Калькулятор бюджета по этапам'!$C$90:$C$101,F$4,'Калькулятор бюджета по этапам'!$I$90:$I$101),0)</s:f>
        <s:v>0</s:v>
      </s:c>
      <s:c r="G8" s="43">
        <s:f>IFERROR(SUMIF('Калькулятор бюджета по этапам'!$C$90:$C$101,G$4,'Калькулятор бюджета по этапам'!$I$90:$I$101),0)</s:f>
        <s:v>0</s:v>
      </s:c>
      <s:c r="H8" s="43">
        <s:f>IFERROR(SUMIF('Калькулятор бюджета по этапам'!$C$90:$C$101,H$4,'Калькулятор бюджета по этапам'!$I$90:$I$101),0)</s:f>
        <s:v>0</s:v>
      </s:c>
      <s:c r="I8" s="43">
        <s:f>IFERROR(SUMIF('Калькулятор бюджета по этапам'!$C$90:$C$101,I$4,'Калькулятор бюджета по этапам'!$I$90:$I$101),0)</s:f>
        <s:v>0</s:v>
      </s:c>
      <s:c r="J8" s="43">
        <s:f>IFERROR(SUMIF('Калькулятор бюджета по этапам'!$C$90:$C$101,J$4,'Калькулятор бюджета по этапам'!$I$90:$I$101),0)</s:f>
        <s:v>0</s:v>
      </s:c>
      <s:c r="K8" s="43">
        <s:f>IFERROR(SUMIF('Калькулятор бюджета по этапам'!$C$90:$C$101,K$4,'Калькулятор бюджета по этапам'!$I$90:$I$101),0)</s:f>
        <s:v>0</s:v>
      </s:c>
      <s:c r="L8" s="43">
        <s:f>IFERROR(SUMIF('Калькулятор бюджета по этапам'!$C$90:$C$101,L$4,'Калькулятор бюджета по этапам'!$I$90:$I$101),0)</s:f>
        <s:v>0</s:v>
      </s:c>
      <s:c r="M8" s="44">
        <s:f>SUM(E8:L8)</s:f>
        <s:v>0</s:v>
      </s:c>
      <s:c r="N8" s="28"/>
      <s:c r="O8" s="28"/>
    </s:row>
    <s:row r="9" spans="2:20" s="14" customFormat="1" ht="15" customHeight="1">
      <s:c r="B9" s="606" t="s">
        <s:v>38</s:v>
      </s:c>
      <s:c r="C9" s="607"/>
      <s:c r="D9" s="608"/>
      <s:c r="E9" s="45">
        <s:f>SUM(E10:E12)</s:f>
        <s:v>0</s:v>
      </s:c>
      <s:c r="F9" s="46">
        <s:f>SUM(F10:F12)</s:f>
        <s:v>0</s:v>
      </s:c>
      <s:c r="G9" s="46">
        <s:f>SUM(G10:G12)</s:f>
        <s:v>0</s:v>
      </s:c>
      <s:c r="H9" s="46">
        <s:f>SUM(H10:H12)</s:f>
        <s:v>0</s:v>
      </s:c>
      <s:c r="I9" s="46">
        <s:f>SUM(I10:I12)</s:f>
        <s:v>0</s:v>
      </s:c>
      <s:c r="J9" s="46">
        <s:f>SUM(J10:J12)</s:f>
        <s:v>0</s:v>
      </s:c>
      <s:c r="K9" s="46">
        <s:f>SUM(K10:K12)</s:f>
        <s:v>0</s:v>
      </s:c>
      <s:c r="L9" s="46">
        <s:f>SUM(L10:L12)</s:f>
        <s:v>0</s:v>
      </s:c>
      <s:c r="M9" s="47">
        <s:f>SUM(E9:L9)</s:f>
        <s:v>0</s:v>
      </s:c>
      <s:c r="N9" s="28"/>
      <s:c r="O9" s="28"/>
    </s:row>
    <s:row r="10" spans="2:20" s="14" customFormat="1" ht="15" customHeight="1" outlineLevel="1">
      <s:c r="B10" s="609" t="s">
        <s:v>39</s:v>
      </s:c>
      <s:c r="C10" s="610"/>
      <s:c r="D10" s="611"/>
      <s:c r="E10" s="48">
        <s:f>IFERROR(SUMIF('Калькулятор бюджета по этапам'!$C$40:$C$71,E$4,'Калькулятор бюджета по этапам'!$N$40:$N$71),0)+IFERROR(SUMIF('Калькулятор бюджета по этапам'!$C$105:$C$111,E$4,'Калькулятор бюджета по этапам'!$J$105:$J$111),0)+IFERROR(SUMIF('Калькулятор бюджета по этапам'!$C$134:$C$142,E$4,'Калькулятор бюджета по этапам'!$I$134:$I$142),0)</s:f>
        <s:v>0</s:v>
      </s:c>
      <s:c r="F10" s="49">
        <s:f>IFERROR(SUMIF('Калькулятор бюджета по этапам'!$C$40:$C$71,F$4,'Калькулятор бюджета по этапам'!$N$40:$N$71),0)+IFERROR(SUMIF('Калькулятор бюджета по этапам'!$C$105:$C$111,F$4,'Калькулятор бюджета по этапам'!$J$105:$J$111),0)+IFERROR(SUMIF('Калькулятор бюджета по этапам'!$C$134:$C$142,F$4,'Калькулятор бюджета по этапам'!$I$134:$I$142),0)</s:f>
        <s:v>0</s:v>
      </s:c>
      <s:c r="G10" s="49">
        <s:f>IFERROR(SUMIF('Калькулятор бюджета по этапам'!$C$40:$C$71,G$4,'Калькулятор бюджета по этапам'!$N$40:$N$71),0)+IFERROR(SUMIF('Калькулятор бюджета по этапам'!$C$105:$C$111,G$4,'Калькулятор бюджета по этапам'!$J$105:$J$111),0)+IFERROR(SUMIF('Калькулятор бюджета по этапам'!$C$134:$C$142,G$4,'Калькулятор бюджета по этапам'!$I$134:$I$142),0)</s:f>
        <s:v>0</s:v>
      </s:c>
      <s:c r="H10" s="49">
        <s:f>IFERROR(SUMIF('Калькулятор бюджета по этапам'!$C$40:$C$71,H$4,'Калькулятор бюджета по этапам'!$N$40:$N$71),0)+IFERROR(SUMIF('Калькулятор бюджета по этапам'!$C$105:$C$111,H$4,'Калькулятор бюджета по этапам'!$J$105:$J$111),0)+IFERROR(SUMIF('Калькулятор бюджета по этапам'!$C$134:$C$142,H$4,'Калькулятор бюджета по этапам'!$I$134:$I$142),0)</s:f>
        <s:v>0</s:v>
      </s:c>
      <s:c r="I10" s="49">
        <s:f>IFERROR(SUMIF('Калькулятор бюджета по этапам'!$C$40:$C$71,I$4,'Калькулятор бюджета по этапам'!$N$40:$N$71),0)+IFERROR(SUMIF('Калькулятор бюджета по этапам'!$C$105:$C$111,I$4,'Калькулятор бюджета по этапам'!$J$105:$J$111),0)+IFERROR(SUMIF('Калькулятор бюджета по этапам'!$C$134:$C$142,I$4,'Калькулятор бюджета по этапам'!$I$134:$I$142),0)</s:f>
        <s:v>0</s:v>
      </s:c>
      <s:c r="J10" s="49">
        <s:f>IFERROR(SUMIF('Калькулятор бюджета по этапам'!$C$40:$C$71,J$4,'Калькулятор бюджета по этапам'!$N$40:$N$71),0)+IFERROR(SUMIF('Калькулятор бюджета по этапам'!$C$105:$C$111,J$4,'Калькулятор бюджета по этапам'!$J$105:$J$111),0)+IFERROR(SUMIF('Калькулятор бюджета по этапам'!$C$134:$C$142,J$4,'Калькулятор бюджета по этапам'!$I$134:$I$142),0)</s:f>
        <s:v>0</s:v>
      </s:c>
      <s:c r="K10" s="49">
        <s:f>IFERROR(SUMIF('Калькулятор бюджета по этапам'!$C$40:$C$71,K$4,'Калькулятор бюджета по этапам'!$N$40:$N$71),0)+IFERROR(SUMIF('Калькулятор бюджета по этапам'!$C$105:$C$111,K$4,'Калькулятор бюджета по этапам'!$J$105:$J$111),0)+IFERROR(SUMIF('Калькулятор бюджета по этапам'!$C$134:$C$142,K$4,'Калькулятор бюджета по этапам'!$I$134:$I$142),0)</s:f>
        <s:v>0</s:v>
      </s:c>
      <s:c r="L10" s="49">
        <s:f>IFERROR(SUMIF('Калькулятор бюджета по этапам'!$C$40:$C$71,L$4,'Калькулятор бюджета по этапам'!$N$40:$N$71),0)+IFERROR(SUMIF('Калькулятор бюджета по этапам'!$C$105:$C$111,L$4,'Калькулятор бюджета по этапам'!$J$105:$J$111),0)+IFERROR(SUMIF('Калькулятор бюджета по этапам'!$C$134:$C$142,L$4,'Калькулятор бюджета по этапам'!$I$134:$I$142),0)</s:f>
        <s:v>0</s:v>
      </s:c>
      <s:c r="M10" s="50">
        <s:f>SUM(E10:L10)</s:f>
        <s:v>0</s:v>
      </s:c>
      <s:c r="N10" s="28"/>
      <s:c r="O10" s="28"/>
    </s:row>
    <s:row r="11" spans="2:20" s="14" customFormat="1" ht="14.25" customHeight="1" outlineLevel="1">
      <s:c r="B11" s="609" t="s">
        <s:v>36</s:v>
      </s:c>
      <s:c r="C11" s="610"/>
      <s:c r="D11" s="611"/>
      <s:c r="E11" s="48">
        <s:f>IFERROR(SUMIF('Калькулятор бюджета по этапам'!$C$75:$C$86,E$4,'Калькулятор бюджета по этапам'!$N$75:$N$86),0)+IFERROR(SUMIF('Калькулятор бюджета по этапам'!$C$115:$C$120,E$4,'Калькулятор бюджета по этапам'!$J$115:$J$120),0)+IFERROR(SUMIF('Калькулятор бюджета по этапам'!$C$146:$C$154,E$4,'Калькулятор бюджета по этапам'!$I$146:$I$154),0)</s:f>
        <s:v>0</s:v>
      </s:c>
      <s:c r="F11" s="49">
        <s:f>IFERROR(SUMIF('Калькулятор бюджета по этапам'!$C$75:$C$86,F$4,'Калькулятор бюджета по этапам'!$N$75:$N$86),0)+IFERROR(SUMIF('Калькулятор бюджета по этапам'!$C$115:$C$120,F$4,'Калькулятор бюджета по этапам'!$J$115:$J$120),0)+IFERROR(SUMIF('Калькулятор бюджета по этапам'!$C$146:$C$154,F$4,'Калькулятор бюджета по этапам'!$I$146:$I$154),0)</s:f>
        <s:v>0</s:v>
      </s:c>
      <s:c r="G11" s="49">
        <s:f>IFERROR(SUMIF('Калькулятор бюджета по этапам'!$C$75:$C$86,G$4,'Калькулятор бюджета по этапам'!$N$75:$N$86),0)+IFERROR(SUMIF('Калькулятор бюджета по этапам'!$C$115:$C$120,G$4,'Калькулятор бюджета по этапам'!$J$115:$J$120),0)+IFERROR(SUMIF('Калькулятор бюджета по этапам'!$C$146:$C$154,G$4,'Калькулятор бюджета по этапам'!$I$146:$I$154),0)</s:f>
        <s:v>0</s:v>
      </s:c>
      <s:c r="H11" s="49">
        <s:f>IFERROR(SUMIF('Калькулятор бюджета по этапам'!$C$75:$C$86,H$4,'Калькулятор бюджета по этапам'!$N$75:$N$86),0)+IFERROR(SUMIF('Калькулятор бюджета по этапам'!$C$115:$C$120,H$4,'Калькулятор бюджета по этапам'!$J$115:$J$120),0)+IFERROR(SUMIF('Калькулятор бюджета по этапам'!$C$146:$C$154,H$4,'Калькулятор бюджета по этапам'!$I$146:$I$154),0)</s:f>
        <s:v>0</s:v>
      </s:c>
      <s:c r="I11" s="49">
        <s:f>IFERROR(SUMIF('Калькулятор бюджета по этапам'!$C$75:$C$86,I$4,'Калькулятор бюджета по этапам'!$N$75:$N$86),0)+IFERROR(SUMIF('Калькулятор бюджета по этапам'!$C$115:$C$120,I$4,'Калькулятор бюджета по этапам'!$J$115:$J$120),0)+IFERROR(SUMIF('Калькулятор бюджета по этапам'!$C$146:$C$154,I$4,'Калькулятор бюджета по этапам'!$I$146:$I$154),0)</s:f>
        <s:v>0</s:v>
      </s:c>
      <s:c r="J11" s="49">
        <s:f>IFERROR(SUMIF('Калькулятор бюджета по этапам'!$C$75:$C$86,J$4,'Калькулятор бюджета по этапам'!$N$75:$N$86),0)+IFERROR(SUMIF('Калькулятор бюджета по этапам'!$C$115:$C$120,J$4,'Калькулятор бюджета по этапам'!$J$115:$J$120),0)+IFERROR(SUMIF('Калькулятор бюджета по этапам'!$C$146:$C$154,J$4,'Калькулятор бюджета по этапам'!$I$146:$I$154),0)</s:f>
        <s:v>0</s:v>
      </s:c>
      <s:c r="K11" s="49">
        <s:f>IFERROR(SUMIF('Калькулятор бюджета по этапам'!$C$75:$C$86,K$4,'Калькулятор бюджета по этапам'!$N$75:$N$86),0)+IFERROR(SUMIF('Калькулятор бюджета по этапам'!$C$115:$C$120,K$4,'Калькулятор бюджета по этапам'!$J$115:$J$120),0)+IFERROR(SUMIF('Калькулятор бюджета по этапам'!$C$146:$C$154,K$4,'Калькулятор бюджета по этапам'!$I$146:$I$154),0)</s:f>
        <s:v>0</s:v>
      </s:c>
      <s:c r="L11" s="49">
        <s:f>IFERROR(SUMIF('Калькулятор бюджета по этапам'!$C$75:$C$86,L$4,'Калькулятор бюджета по этапам'!$N$75:$N$86),0)+IFERROR(SUMIF('Калькулятор бюджета по этапам'!$C$115:$C$120,L$4,'Калькулятор бюджета по этапам'!$J$115:$J$120),0)+IFERROR(SUMIF('Калькулятор бюджета по этапам'!$C$146:$C$154,L$4,'Калькулятор бюджета по этапам'!$I$146:$I$154),0)</s:f>
        <s:v>0</s:v>
      </s:c>
      <s:c r="M11" s="50">
        <s:f>SUM(E11:L11)</s:f>
        <s:v>0</s:v>
      </s:c>
      <s:c r="N11" s="28"/>
      <s:c r="O11" s="28"/>
    </s:row>
    <s:row r="12" spans="2:20" s="14" customFormat="1" ht="15" customHeight="1" outlineLevel="1">
      <s:c r="B12" s="609" t="s">
        <s:v>37</s:v>
      </s:c>
      <s:c r="C12" s="610"/>
      <s:c r="D12" s="611"/>
      <s:c r="E12" s="48">
        <s:f>IFERROR(SUMIF('Калькулятор бюджета по этапам'!$C$90:$C$101,E$4,'Калькулятор бюджета по этапам'!$N$90:$N$101),0)+IFERROR(SUMIF('Калькулятор бюджета по этапам'!$C$124:$C$130,E$4,'Калькулятор бюджета по этапам'!$J$124:$J$130),0)+IFERROR(SUMIF('Калькулятор бюджета по этапам'!$C$158:$C$166,E$4,'Калькулятор бюджета по этапам'!$I$158:$I$166),0)</s:f>
        <s:v>0</s:v>
      </s:c>
      <s:c r="F12" s="49">
        <s:f>IFERROR(SUMIF('Калькулятор бюджета по этапам'!$C$90:$C$101,F$4,'Калькулятор бюджета по этапам'!$N$90:$N$101),0)+IFERROR(SUMIF('Калькулятор бюджета по этапам'!$C$124:$C$130,F$4,'Калькулятор бюджета по этапам'!$J$124:$J$130),0)+IFERROR(SUMIF('Калькулятор бюджета по этапам'!$C$158:$C$166,F$4,'Калькулятор бюджета по этапам'!$I$158:$I$166),0)</s:f>
        <s:v>0</s:v>
      </s:c>
      <s:c r="G12" s="49">
        <s:f>IFERROR(SUMIF('Калькулятор бюджета по этапам'!$C$90:$C$101,G$4,'Калькулятор бюджета по этапам'!$N$90:$N$101),0)+IFERROR(SUMIF('Калькулятор бюджета по этапам'!$C$124:$C$130,G$4,'Калькулятор бюджета по этапам'!$J$124:$J$130),0)+IFERROR(SUMIF('Калькулятор бюджета по этапам'!$C$158:$C$166,G$4,'Калькулятор бюджета по этапам'!$I$158:$I$166),0)</s:f>
        <s:v>0</s:v>
      </s:c>
      <s:c r="H12" s="49">
        <s:f>IFERROR(SUMIF('Калькулятор бюджета по этапам'!$C$90:$C$101,H$4,'Калькулятор бюджета по этапам'!$N$90:$N$101),0)+IFERROR(SUMIF('Калькулятор бюджета по этапам'!$C$124:$C$130,H$4,'Калькулятор бюджета по этапам'!$J$124:$J$130),0)+IFERROR(SUMIF('Калькулятор бюджета по этапам'!$C$158:$C$166,H$4,'Калькулятор бюджета по этапам'!$I$158:$I$166),0)</s:f>
        <s:v>0</s:v>
      </s:c>
      <s:c r="I12" s="49">
        <s:f>IFERROR(SUMIF('Калькулятор бюджета по этапам'!$C$90:$C$101,I$4,'Калькулятор бюджета по этапам'!$N$90:$N$101),0)+IFERROR(SUMIF('Калькулятор бюджета по этапам'!$C$124:$C$130,I$4,'Калькулятор бюджета по этапам'!$J$124:$J$130),0)+IFERROR(SUMIF('Калькулятор бюджета по этапам'!$C$158:$C$166,I$4,'Калькулятор бюджета по этапам'!$I$158:$I$166),0)</s:f>
        <s:v>0</s:v>
      </s:c>
      <s:c r="J12" s="49">
        <s:f>IFERROR(SUMIF('Калькулятор бюджета по этапам'!$C$90:$C$101,J$4,'Калькулятор бюджета по этапам'!$N$90:$N$101),0)+IFERROR(SUMIF('Калькулятор бюджета по этапам'!$C$124:$C$130,J$4,'Калькулятор бюджета по этапам'!$J$124:$J$130),0)+IFERROR(SUMIF('Калькулятор бюджета по этапам'!$C$158:$C$166,J$4,'Калькулятор бюджета по этапам'!$I$158:$I$166),0)</s:f>
        <s:v>0</s:v>
      </s:c>
      <s:c r="K12" s="49">
        <s:f>IFERROR(SUMIF('Калькулятор бюджета по этапам'!$C$90:$C$101,K$4,'Калькулятор бюджета по этапам'!$N$90:$N$101),0)+IFERROR(SUMIF('Калькулятор бюджета по этапам'!$C$124:$C$130,K$4,'Калькулятор бюджета по этапам'!$J$124:$J$130),0)+IFERROR(SUMIF('Калькулятор бюджета по этапам'!$C$158:$C$166,K$4,'Калькулятор бюджета по этапам'!$I$158:$I$166),0)</s:f>
        <s:v>0</s:v>
      </s:c>
      <s:c r="L12" s="49">
        <s:f>IFERROR(SUMIF('Калькулятор бюджета по этапам'!$C$90:$C$101,L$4,'Калькулятор бюджета по этапам'!$N$90:$N$101),0)+IFERROR(SUMIF('Калькулятор бюджета по этапам'!$C$124:$C$130,L$4,'Калькулятор бюджета по этапам'!$J$124:$J$130),0)+IFERROR(SUMIF('Калькулятор бюджета по этапам'!$C$158:$C$166,L$4,'Калькулятор бюджета по этапам'!$I$158:$I$166),0)</s:f>
        <s:v>0</s:v>
      </s:c>
      <s:c r="M12" s="50">
        <s:f>SUM(E12:L12)</s:f>
        <s:v>0</s:v>
      </s:c>
      <s:c r="N12" s="28"/>
      <s:c r="O12" s="28"/>
    </s:row>
    <s:row r="13" spans="2:20" s="14" customFormat="1" ht="15" customHeight="1">
      <s:c r="B13" s="606" t="s">
        <s:v>40</s:v>
      </s:c>
      <s:c r="C13" s="607"/>
      <s:c r="D13" s="608"/>
      <s:c r="E13" s="45">
        <s:f>E14+E18+E22</s:f>
        <s:v>0</s:v>
      </s:c>
      <s:c r="F13" s="46">
        <s:f>F14+F18+F22</s:f>
        <s:v>0</s:v>
      </s:c>
      <s:c r="G13" s="46">
        <s:f>G14+G18+G22</s:f>
        <s:v>0</s:v>
      </s:c>
      <s:c r="H13" s="46">
        <s:f>H14+H18+H22</s:f>
        <s:v>0</s:v>
      </s:c>
      <s:c r="I13" s="46">
        <s:f>I14+I18+I22</s:f>
        <s:v>0</s:v>
      </s:c>
      <s:c r="J13" s="46">
        <s:f>J14+J18+J22</s:f>
        <s:v>0</s:v>
      </s:c>
      <s:c r="K13" s="46">
        <s:f>K14+K18+K22</s:f>
        <s:v>0</s:v>
      </s:c>
      <s:c r="L13" s="46">
        <s:f>L14+L18+L22</s:f>
        <s:v>0</s:v>
      </s:c>
      <s:c r="M13" s="47">
        <s:f>SUM(E13:L13)</s:f>
        <s:v>0</s:v>
      </s:c>
      <s:c r="N13" s="28"/>
      <s:c r="O13" s="28"/>
    </s:row>
    <s:row r="14" spans="2:20" s="14" customFormat="1" ht="15" customHeight="1" outlineLevel="1">
      <s:c r="B14" s="612" t="s">
        <s:v>41</s:v>
      </s:c>
      <s:c r="C14" s="613"/>
      <s:c r="D14" s="614"/>
      <s:c r="E14" s="51">
        <s:f>SUM(E15:E17)</s:f>
        <s:v>0</s:v>
      </s:c>
      <s:c r="F14" s="52">
        <s:f>SUM(F15:F17)</s:f>
        <s:v>0</s:v>
      </s:c>
      <s:c r="G14" s="52">
        <s:f>SUM(G15:G17)</s:f>
        <s:v>0</s:v>
      </s:c>
      <s:c r="H14" s="52">
        <s:f>SUM(H15:H17)</s:f>
        <s:v>0</s:v>
      </s:c>
      <s:c r="I14" s="52">
        <s:f>SUM(I15:I17)</s:f>
        <s:v>0</s:v>
      </s:c>
      <s:c r="J14" s="52">
        <s:f>SUM(J15:J17)</s:f>
        <s:v>0</s:v>
      </s:c>
      <s:c r="K14" s="52">
        <s:f>SUM(K15:K17)</s:f>
        <s:v>0</s:v>
      </s:c>
      <s:c r="L14" s="52">
        <s:f>SUM(L15:L17)</s:f>
        <s:v>0</s:v>
      </s:c>
      <s:c r="M14" s="53">
        <s:f>SUM(E14:L14)</s:f>
        <s:v>0</s:v>
      </s:c>
      <s:c r="N14" s="28"/>
      <s:c r="O14" s="28"/>
      <s:c r="P14" s="38"/>
      <s:c r="Q14" s="38"/>
      <s:c r="R14" s="38"/>
      <s:c r="S14" s="38"/>
      <s:c r="T14" s="38"/>
    </s:row>
    <s:row r="15" spans="2:20" s="14" customFormat="1" ht="15" customHeight="1" outlineLevel="2">
      <s:c r="B15" s="615" t="s">
        <s:v>42</s:v>
      </s:c>
      <s:c r="C15" s="616"/>
      <s:c r="D15" s="617"/>
      <s:c r="E15" s="49">
        <s:f>IFERROR(SUMIF('Калькулятор бюджета по этапам'!$C$40:$C$71,E$4,'Калькулятор бюджета по этапам'!$K$40:$K$71),0)</s:f>
        <s:v>0</s:v>
      </s:c>
      <s:c r="F15" s="49">
        <s:f>IFERROR(SUMIF('Калькулятор бюджета по этапам'!$C$40:$C$71,F$4,'Калькулятор бюджета по этапам'!$K$40:$K$71),0)</s:f>
        <s:v>0</s:v>
      </s:c>
      <s:c r="G15" s="49">
        <s:f>IFERROR(SUMIF('Калькулятор бюджета по этапам'!$C$40:$C$71,G$4,'Калькулятор бюджета по этапам'!$K$40:$K$71),0)</s:f>
        <s:v>0</s:v>
      </s:c>
      <s:c r="H15" s="49">
        <s:f>IFERROR(SUMIF('Калькулятор бюджета по этапам'!$C$40:$C$71,H$4,'Калькулятор бюджета по этапам'!$K$40:$K$71),0)</s:f>
        <s:v>0</s:v>
      </s:c>
      <s:c r="I15" s="49">
        <s:f>IFERROR(SUMIF('Калькулятор бюджета по этапам'!$C$40:$C$71,I$4,'Калькулятор бюджета по этапам'!$K$40:$K$71),0)</s:f>
        <s:v>0</s:v>
      </s:c>
      <s:c r="J15" s="49">
        <s:f>IFERROR(SUMIF('Калькулятор бюджета по этапам'!$C$40:$C$71,J$4,'Калькулятор бюджета по этапам'!$K$40:$K$71),0)</s:f>
        <s:v>0</s:v>
      </s:c>
      <s:c r="K15" s="49">
        <s:f>IFERROR(SUMIF('Калькулятор бюджета по этапам'!$C$40:$C$71,K$4,'Калькулятор бюджета по этапам'!$K$40:$K$71),0)</s:f>
        <s:v>0</s:v>
      </s:c>
      <s:c r="L15" s="49">
        <s:f>IFERROR(SUMIF('Калькулятор бюджета по этапам'!$C$40:$C$71,L$4,'Калькулятор бюджета по этапам'!$K$40:$K$71),0)</s:f>
        <s:v>0</s:v>
      </s:c>
      <s:c r="M15" s="50">
        <s:f>SUM(E15:L15)</s:f>
        <s:v>0</s:v>
      </s:c>
      <s:c r="N15" s="28"/>
      <s:c r="O15" s="28"/>
      <s:c r="P15" s="38"/>
      <s:c r="Q15" s="38"/>
      <s:c r="R15" s="38"/>
      <s:c r="S15" s="38"/>
      <s:c r="T15" s="38"/>
    </s:row>
    <s:row r="16" spans="2:20" s="14" customFormat="1" ht="15" customHeight="1" outlineLevel="2">
      <s:c r="B16" s="615" t="s">
        <s:v>43</s:v>
      </s:c>
      <s:c r="C16" s="616"/>
      <s:c r="D16" s="617"/>
      <s:c r="E16" s="49">
        <s:f>+IFERROR(SUMIF('Калькулятор бюджета по этапам'!$C$105:$C$111,E$4,'Калькулятор бюджета по этапам'!$H$105:$H$111),0)</s:f>
        <s:v>0</s:v>
      </s:c>
      <s:c r="F16" s="49">
        <s:f>+IFERROR(SUMIF('Калькулятор бюджета по этапам'!$C$105:$C$111,F$4,'Калькулятор бюджета по этапам'!$H$105:$H$111),0)</s:f>
        <s:v>0</s:v>
      </s:c>
      <s:c r="G16" s="49">
        <s:f>+IFERROR(SUMIF('Калькулятор бюджета по этапам'!$C$105:$C$111,G$4,'Калькулятор бюджета по этапам'!$H$105:$H$111),0)</s:f>
        <s:v>0</s:v>
      </s:c>
      <s:c r="H16" s="49">
        <s:f>+IFERROR(SUMIF('Калькулятор бюджета по этапам'!$C$105:$C$111,H$4,'Калькулятор бюджета по этапам'!$H$105:$H$111),0)</s:f>
        <s:v>0</s:v>
      </s:c>
      <s:c r="I16" s="49">
        <s:f>+IFERROR(SUMIF('Калькулятор бюджета по этапам'!$C$105:$C$111,I$4,'Калькулятор бюджета по этапам'!$H$105:$H$111),0)</s:f>
        <s:v>0</s:v>
      </s:c>
      <s:c r="J16" s="49">
        <s:f>+IFERROR(SUMIF('Калькулятор бюджета по этапам'!$C$105:$C$111,J$4,'Калькулятор бюджета по этапам'!$H$105:$H$111),0)</s:f>
        <s:v>0</s:v>
      </s:c>
      <s:c r="K16" s="49">
        <s:f>+IFERROR(SUMIF('Калькулятор бюджета по этапам'!$C$105:$C$111,K$4,'Калькулятор бюджета по этапам'!$H$105:$H$111),0)</s:f>
        <s:v>0</s:v>
      </s:c>
      <s:c r="L16" s="49">
        <s:f>+IFERROR(SUMIF('Калькулятор бюджета по этапам'!$C$105:$C$111,L$4,'Калькулятор бюджета по этапам'!$H$105:$H$111),0)</s:f>
        <s:v>0</s:v>
      </s:c>
      <s:c r="M16" s="50">
        <s:f>SUM(E16:L16)</s:f>
        <s:v>0</s:v>
      </s:c>
      <s:c r="N16" s="28"/>
      <s:c r="O16" s="28"/>
      <s:c r="P16" s="38"/>
      <s:c r="Q16" s="38"/>
      <s:c r="R16" s="38"/>
      <s:c r="S16" s="38"/>
      <s:c r="T16" s="38"/>
    </s:row>
    <s:row r="17" spans="2:20" s="14" customFormat="1" ht="15" customHeight="1" outlineLevel="2">
      <s:c r="B17" s="615" t="s">
        <s:v>44</s:v>
      </s:c>
      <s:c r="C17" s="616"/>
      <s:c r="D17" s="617"/>
      <s:c r="E17" s="49">
        <s:f>+IFERROR(SUMIF('Калькулятор бюджета по этапам'!$C$134:$C$142,E$4,'Калькулятор бюджета по этапам'!$G$134:$G$142),0)</s:f>
        <s:v>0</s:v>
      </s:c>
      <s:c r="F17" s="49">
        <s:f>+IFERROR(SUMIF('Калькулятор бюджета по этапам'!$C$134:$C$142,F$4,'Калькулятор бюджета по этапам'!$G$134:$G$142),0)</s:f>
        <s:v>0</s:v>
      </s:c>
      <s:c r="G17" s="49">
        <s:f>+IFERROR(SUMIF('Калькулятор бюджета по этапам'!$C$134:$C$142,G$4,'Калькулятор бюджета по этапам'!$G$134:$G$142),0)</s:f>
        <s:v>0</s:v>
      </s:c>
      <s:c r="H17" s="49">
        <s:f>+IFERROR(SUMIF('Калькулятор бюджета по этапам'!$C$134:$C$142,H$4,'Калькулятор бюджета по этапам'!$G$134:$G$142),0)</s:f>
        <s:v>0</s:v>
      </s:c>
      <s:c r="I17" s="49">
        <s:f>+IFERROR(SUMIF('Калькулятор бюджета по этапам'!$C$134:$C$142,I$4,'Калькулятор бюджета по этапам'!$G$134:$G$142),0)</s:f>
        <s:v>0</s:v>
      </s:c>
      <s:c r="J17" s="49">
        <s:f>+IFERROR(SUMIF('Калькулятор бюджета по этапам'!$C$134:$C$142,J$4,'Калькулятор бюджета по этапам'!$G$134:$G$142),0)</s:f>
        <s:v>0</s:v>
      </s:c>
      <s:c r="K17" s="49">
        <s:f>+IFERROR(SUMIF('Калькулятор бюджета по этапам'!$C$134:$C$142,K$4,'Калькулятор бюджета по этапам'!$G$134:$G$142),0)</s:f>
        <s:v>0</s:v>
      </s:c>
      <s:c r="L17" s="49">
        <s:f>+IFERROR(SUMIF('Калькулятор бюджета по этапам'!$C$134:$C$142,L$4,'Калькулятор бюджета по этапам'!$G$134:$G$142),0)</s:f>
        <s:v>0</s:v>
      </s:c>
      <s:c r="M17" s="50">
        <s:f>SUM(E17:L17)</s:f>
        <s:v>0</s:v>
      </s:c>
      <s:c r="N17" s="28"/>
      <s:c r="O17" s="28"/>
      <s:c r="P17" s="38"/>
      <s:c r="Q17" s="38"/>
      <s:c r="R17" s="38"/>
      <s:c r="S17" s="38"/>
      <s:c r="T17" s="38"/>
    </s:row>
    <s:row r="18" spans="2:20" s="14" customFormat="1" ht="15" customHeight="1" outlineLevel="1">
      <s:c r="B18" s="612" t="s">
        <s:v>36</s:v>
      </s:c>
      <s:c r="C18" s="613"/>
      <s:c r="D18" s="614"/>
      <s:c r="E18" s="45">
        <s:f>SUM(E19:E21)</s:f>
        <s:v>0</s:v>
      </s:c>
      <s:c r="F18" s="46">
        <s:f>SUM(F19:F21)</s:f>
        <s:v>0</s:v>
      </s:c>
      <s:c r="G18" s="46">
        <s:f>SUM(G19:G21)</s:f>
        <s:v>0</s:v>
      </s:c>
      <s:c r="H18" s="46">
        <s:f>SUM(H19:H21)</s:f>
        <s:v>0</s:v>
      </s:c>
      <s:c r="I18" s="46">
        <s:f>SUM(I19:I21)</s:f>
        <s:v>0</s:v>
      </s:c>
      <s:c r="J18" s="46">
        <s:f>SUM(J19:J21)</s:f>
        <s:v>0</s:v>
      </s:c>
      <s:c r="K18" s="46">
        <s:f>SUM(K19:K21)</s:f>
        <s:v>0</s:v>
      </s:c>
      <s:c r="L18" s="46">
        <s:f>SUM(L19:L21)</s:f>
        <s:v>0</s:v>
      </s:c>
      <s:c r="M18" s="47">
        <s:f>SUM(E18:L18)</s:f>
        <s:v>0</s:v>
      </s:c>
      <s:c r="N18" s="28"/>
      <s:c r="O18" s="28"/>
      <s:c r="P18" s="38"/>
      <s:c r="Q18" s="38"/>
      <s:c r="R18" s="38"/>
      <s:c r="S18" s="38"/>
      <s:c r="T18" s="38"/>
    </s:row>
    <s:row r="19" spans="2:20" s="14" customFormat="1" ht="15" customHeight="1" outlineLevel="2">
      <s:c r="B19" s="615" t="s">
        <s:v>42</s:v>
      </s:c>
      <s:c r="C19" s="616"/>
      <s:c r="D19" s="617"/>
      <s:c r="E19" s="48">
        <s:f>IFERROR(SUMIF('Калькулятор бюджета по этапам'!$C$75:$C$86,E$4,'Калькулятор бюджета по этапам'!$K$75:$K$86),0)</s:f>
        <s:v>0</s:v>
      </s:c>
      <s:c r="F19" s="49">
        <s:f>IFERROR(SUMIF('Калькулятор бюджета по этапам'!$C$75:$C$86,F$4,'Калькулятор бюджета по этапам'!$K$75:$K$86),0)</s:f>
        <s:v>0</s:v>
      </s:c>
      <s:c r="G19" s="49">
        <s:f>IFERROR(SUMIF('Калькулятор бюджета по этапам'!$C$75:$C$86,G$4,'Калькулятор бюджета по этапам'!$K$75:$K$86),0)</s:f>
        <s:v>0</s:v>
      </s:c>
      <s:c r="H19" s="49">
        <s:f>IFERROR(SUMIF('Калькулятор бюджета по этапам'!$C$75:$C$86,H$4,'Калькулятор бюджета по этапам'!$K$75:$K$86),0)</s:f>
        <s:v>0</s:v>
      </s:c>
      <s:c r="I19" s="49">
        <s:f>IFERROR(SUMIF('Калькулятор бюджета по этапам'!$C$75:$C$86,I$4,'Калькулятор бюджета по этапам'!$K$75:$K$86),0)</s:f>
        <s:v>0</s:v>
      </s:c>
      <s:c r="J19" s="49">
        <s:f>IFERROR(SUMIF('Калькулятор бюджета по этапам'!$C$75:$C$86,J$4,'Калькулятор бюджета по этапам'!$K$75:$K$86),0)</s:f>
        <s:v>0</s:v>
      </s:c>
      <s:c r="K19" s="49">
        <s:f>IFERROR(SUMIF('Калькулятор бюджета по этапам'!$C$75:$C$86,K$4,'Калькулятор бюджета по этапам'!$K$75:$K$86),0)</s:f>
        <s:v>0</s:v>
      </s:c>
      <s:c r="L19" s="49">
        <s:f>IFERROR(SUMIF('Калькулятор бюджета по этапам'!$C$75:$C$86,L$4,'Калькулятор бюджета по этапам'!$K$75:$K$86),0)</s:f>
        <s:v>0</s:v>
      </s:c>
      <s:c r="M19" s="50">
        <s:f>SUM(E19:L19)</s:f>
        <s:v>0</s:v>
      </s:c>
      <s:c r="N19" s="28"/>
      <s:c r="O19" s="28"/>
      <s:c r="P19" s="38"/>
      <s:c r="Q19" s="38"/>
      <s:c r="R19" s="38"/>
      <s:c r="S19" s="38"/>
      <s:c r="T19" s="38"/>
    </s:row>
    <s:row r="20" spans="2:20" s="14" customFormat="1" ht="15" customHeight="1" outlineLevel="2">
      <s:c r="B20" s="615" t="s">
        <s:v>43</s:v>
      </s:c>
      <s:c r="C20" s="616"/>
      <s:c r="D20" s="617"/>
      <s:c r="E20" s="48">
        <s:f>+IFERROR(SUMIF('Калькулятор бюджета по этапам'!$C$115:$C$120,E$4,'Калькулятор бюджета по этапам'!$H$115:$H$120),0)</s:f>
        <s:v>0</s:v>
      </s:c>
      <s:c r="F20" s="49">
        <s:f>+IFERROR(SUMIF('Калькулятор бюджета по этапам'!$C$115:$C$120,F$4,'Калькулятор бюджета по этапам'!$H$115:$H$120),0)</s:f>
        <s:v>0</s:v>
      </s:c>
      <s:c r="G20" s="49">
        <s:f>+IFERROR(SUMIF('Калькулятор бюджета по этапам'!$C$115:$C$120,G$4,'Калькулятор бюджета по этапам'!$H$115:$H$120),0)</s:f>
        <s:v>0</s:v>
      </s:c>
      <s:c r="H20" s="49">
        <s:f>+IFERROR(SUMIF('Калькулятор бюджета по этапам'!$C$115:$C$120,H$4,'Калькулятор бюджета по этапам'!$H$115:$H$120),0)</s:f>
        <s:v>0</s:v>
      </s:c>
      <s:c r="I20" s="49">
        <s:f>+IFERROR(SUMIF('Калькулятор бюджета по этапам'!$C$115:$C$120,I$4,'Калькулятор бюджета по этапам'!$H$115:$H$120),0)</s:f>
        <s:v>0</s:v>
      </s:c>
      <s:c r="J20" s="49">
        <s:f>+IFERROR(SUMIF('Калькулятор бюджета по этапам'!$C$115:$C$120,J$4,'Калькулятор бюджета по этапам'!$H$115:$H$120),0)</s:f>
        <s:v>0</s:v>
      </s:c>
      <s:c r="K20" s="49">
        <s:f>+IFERROR(SUMIF('Калькулятор бюджета по этапам'!$C$115:$C$120,K$4,'Калькулятор бюджета по этапам'!$H$115:$H$120),0)</s:f>
        <s:v>0</s:v>
      </s:c>
      <s:c r="L20" s="49">
        <s:f>+IFERROR(SUMIF('Калькулятор бюджета по этапам'!$C$115:$C$120,L$4,'Калькулятор бюджета по этапам'!$H$115:$H$120),0)</s:f>
        <s:v>0</s:v>
      </s:c>
      <s:c r="M20" s="50">
        <s:f>SUM(E20:L20)</s:f>
        <s:v>0</s:v>
      </s:c>
      <s:c r="N20" s="28"/>
      <s:c r="O20" s="28"/>
      <s:c r="P20" s="38"/>
      <s:c r="Q20" s="38"/>
      <s:c r="R20" s="38"/>
      <s:c r="S20" s="38"/>
      <s:c r="T20" s="38"/>
    </s:row>
    <s:row r="21" spans="2:20" s="14" customFormat="1" ht="15" customHeight="1" outlineLevel="2">
      <s:c r="B21" s="615" t="s">
        <s:v>44</s:v>
      </s:c>
      <s:c r="C21" s="616"/>
      <s:c r="D21" s="617"/>
      <s:c r="E21" s="48">
        <s:f>+IFERROR(SUMIF('Калькулятор бюджета по этапам'!$C$146:$C$154,E$4,'Калькулятор бюджета по этапам'!$G$146:$G$154),0)</s:f>
        <s:v>0</s:v>
      </s:c>
      <s:c r="F21" s="49">
        <s:f>+IFERROR(SUMIF('Калькулятор бюджета по этапам'!$C$146:$C$154,F$4,'Калькулятор бюджета по этапам'!$G$146:$G$154),0)</s:f>
        <s:v>0</s:v>
      </s:c>
      <s:c r="G21" s="49">
        <s:f>+IFERROR(SUMIF('Калькулятор бюджета по этапам'!$C$146:$C$154,G$4,'Калькулятор бюджета по этапам'!$G$146:$G$154),0)</s:f>
        <s:v>0</s:v>
      </s:c>
      <s:c r="H21" s="49">
        <s:f>+IFERROR(SUMIF('Калькулятор бюджета по этапам'!$C$146:$C$154,H$4,'Калькулятор бюджета по этапам'!$G$146:$G$154),0)</s:f>
        <s:v>0</s:v>
      </s:c>
      <s:c r="I21" s="49">
        <s:f>+IFERROR(SUMIF('Калькулятор бюджета по этапам'!$C$146:$C$154,I$4,'Калькулятор бюджета по этапам'!$G$146:$G$154),0)</s:f>
        <s:v>0</s:v>
      </s:c>
      <s:c r="J21" s="49">
        <s:f>+IFERROR(SUMIF('Калькулятор бюджета по этапам'!$C$146:$C$154,J$4,'Калькулятор бюджета по этапам'!$G$146:$G$154),0)</s:f>
        <s:v>0</s:v>
      </s:c>
      <s:c r="K21" s="49">
        <s:f>+IFERROR(SUMIF('Калькулятор бюджета по этапам'!$C$146:$C$154,K$4,'Калькулятор бюджета по этапам'!$G$146:$G$154),0)</s:f>
        <s:v>0</s:v>
      </s:c>
      <s:c r="L21" s="49">
        <s:f>+IFERROR(SUMIF('Калькулятор бюджета по этапам'!$C$146:$C$154,L$4,'Калькулятор бюджета по этапам'!$G$146:$G$154),0)</s:f>
        <s:v>0</s:v>
      </s:c>
      <s:c r="M21" s="50">
        <s:f>SUM(E21:L21)</s:f>
        <s:v>0</s:v>
      </s:c>
      <s:c r="N21" s="28"/>
      <s:c r="O21" s="28"/>
      <s:c r="P21" s="38"/>
      <s:c r="Q21" s="38"/>
      <s:c r="R21" s="38"/>
      <s:c r="S21" s="38"/>
      <s:c r="T21" s="38"/>
    </s:row>
    <s:row r="22" spans="2:20" s="14" customFormat="1" ht="15" customHeight="1" outlineLevel="1">
      <s:c r="B22" s="612" t="s">
        <s:v>45</s:v>
      </s:c>
      <s:c r="C22" s="613"/>
      <s:c r="D22" s="614"/>
      <s:c r="E22" s="45">
        <s:f>SUM(E23:E25)</s:f>
        <s:v>0</s:v>
      </s:c>
      <s:c r="F22" s="46">
        <s:f>SUM(F23:F25)</s:f>
        <s:v>0</s:v>
      </s:c>
      <s:c r="G22" s="46">
        <s:f>SUM(G23:G25)</s:f>
        <s:v>0</s:v>
      </s:c>
      <s:c r="H22" s="46">
        <s:f>SUM(H23:H25)</s:f>
        <s:v>0</s:v>
      </s:c>
      <s:c r="I22" s="46">
        <s:f>SUM(I23:I25)</s:f>
        <s:v>0</s:v>
      </s:c>
      <s:c r="J22" s="46">
        <s:f>SUM(J23:J25)</s:f>
        <s:v>0</s:v>
      </s:c>
      <s:c r="K22" s="46">
        <s:f>SUM(K23:K25)</s:f>
        <s:v>0</s:v>
      </s:c>
      <s:c r="L22" s="46">
        <s:f>SUM(L23:L25)</s:f>
        <s:v>0</s:v>
      </s:c>
      <s:c r="M22" s="47">
        <s:f>SUM(E22:L22)</s:f>
        <s:v>0</s:v>
      </s:c>
      <s:c r="N22" s="28"/>
      <s:c r="O22" s="28"/>
      <s:c r="P22" s="38"/>
      <s:c r="Q22" s="38"/>
      <s:c r="R22" s="38"/>
      <s:c r="S22" s="38"/>
      <s:c r="T22" s="38"/>
    </s:row>
    <s:row r="23" spans="2:20" s="14" customFormat="1" ht="15" customHeight="1" outlineLevel="2">
      <s:c r="B23" s="615" t="s">
        <s:v>42</s:v>
      </s:c>
      <s:c r="C23" s="616"/>
      <s:c r="D23" s="617"/>
      <s:c r="E23" s="48">
        <s:f>IFERROR(SUMIF('Калькулятор бюджета по этапам'!$C$90:$C$101,E$4,'Калькулятор бюджета по этапам'!$K$90:$K$101),0)</s:f>
        <s:v>0</s:v>
      </s:c>
      <s:c r="F23" s="49">
        <s:f>IFERROR(SUMIF('Калькулятор бюджета по этапам'!$C$90:$C$101,F$4,'Калькулятор бюджета по этапам'!$K$90:$K$101),0)</s:f>
        <s:v>0</s:v>
      </s:c>
      <s:c r="G23" s="49">
        <s:f>IFERROR(SUMIF('Калькулятор бюджета по этапам'!$C$90:$C$101,G$4,'Калькулятор бюджета по этапам'!$K$90:$K$101),0)</s:f>
        <s:v>0</s:v>
      </s:c>
      <s:c r="H23" s="49">
        <s:f>IFERROR(SUMIF('Калькулятор бюджета по этапам'!$C$90:$C$101,H$4,'Калькулятор бюджета по этапам'!$K$90:$K$101),0)</s:f>
        <s:v>0</s:v>
      </s:c>
      <s:c r="I23" s="49">
        <s:f>IFERROR(SUMIF('Калькулятор бюджета по этапам'!$C$90:$C$101,I$4,'Калькулятор бюджета по этапам'!$K$90:$K$101),0)</s:f>
        <s:v>0</s:v>
      </s:c>
      <s:c r="J23" s="49">
        <s:f>IFERROR(SUMIF('Калькулятор бюджета по этапам'!$C$90:$C$101,J$4,'Калькулятор бюджета по этапам'!$K$90:$K$101),0)</s:f>
        <s:v>0</s:v>
      </s:c>
      <s:c r="K23" s="49">
        <s:f>IFERROR(SUMIF('Калькулятор бюджета по этапам'!$C$90:$C$101,K$4,'Калькулятор бюджета по этапам'!$K$90:$K$101),0)</s:f>
        <s:v>0</s:v>
      </s:c>
      <s:c r="L23" s="49">
        <s:f>IFERROR(SUMIF('Калькулятор бюджета по этапам'!$C$90:$C$101,L$4,'Калькулятор бюджета по этапам'!$K$90:$K$101),0)</s:f>
        <s:v>0</s:v>
      </s:c>
      <s:c r="M23" s="50">
        <s:f>SUM(E23:L23)</s:f>
        <s:v>0</s:v>
      </s:c>
      <s:c r="N23" s="28"/>
      <s:c r="O23" s="28"/>
      <s:c r="P23" s="38"/>
      <s:c r="Q23" s="38"/>
      <s:c r="R23" s="38"/>
      <s:c r="S23" s="38"/>
      <s:c r="T23" s="38"/>
    </s:row>
    <s:row r="24" spans="2:20" s="14" customFormat="1" ht="15" customHeight="1" outlineLevel="2">
      <s:c r="B24" s="615" t="s">
        <s:v>43</s:v>
      </s:c>
      <s:c r="C24" s="616"/>
      <s:c r="D24" s="617"/>
      <s:c r="E24" s="48">
        <s:f>+IFERROR(SUMIF('Калькулятор бюджета по этапам'!$C$124:$C$130,E$4,'Калькулятор бюджета по этапам'!$H$124:$H$130),0)</s:f>
        <s:v>0</s:v>
      </s:c>
      <s:c r="F24" s="49">
        <s:f>+IFERROR(SUMIF('Калькулятор бюджета по этапам'!$C$124:$C$130,F$4,'Калькулятор бюджета по этапам'!$H$124:$H$130),0)</s:f>
        <s:v>0</s:v>
      </s:c>
      <s:c r="G24" s="49">
        <s:f>+IFERROR(SUMIF('Калькулятор бюджета по этапам'!$C$124:$C$130,G$4,'Калькулятор бюджета по этапам'!$H$124:$H$130),0)</s:f>
        <s:v>0</s:v>
      </s:c>
      <s:c r="H24" s="49">
        <s:f>+IFERROR(SUMIF('Калькулятор бюджета по этапам'!$C$124:$C$130,H$4,'Калькулятор бюджета по этапам'!$H$124:$H$130),0)</s:f>
        <s:v>0</s:v>
      </s:c>
      <s:c r="I24" s="49">
        <s:f>+IFERROR(SUMIF('Калькулятор бюджета по этапам'!$C$124:$C$130,I$4,'Калькулятор бюджета по этапам'!$H$124:$H$130),0)</s:f>
        <s:v>0</s:v>
      </s:c>
      <s:c r="J24" s="49">
        <s:f>+IFERROR(SUMIF('Калькулятор бюджета по этапам'!$C$124:$C$130,J$4,'Калькулятор бюджета по этапам'!$H$124:$H$130),0)</s:f>
        <s:v>0</s:v>
      </s:c>
      <s:c r="K24" s="49">
        <s:f>+IFERROR(SUMIF('Калькулятор бюджета по этапам'!$C$124:$C$130,K$4,'Калькулятор бюджета по этапам'!$H$124:$H$130),0)</s:f>
        <s:v>0</s:v>
      </s:c>
      <s:c r="L24" s="49">
        <s:f>+IFERROR(SUMIF('Калькулятор бюджета по этапам'!$C$124:$C$130,L$4,'Калькулятор бюджета по этапам'!$H$124:$H$130),0)</s:f>
        <s:v>0</s:v>
      </s:c>
      <s:c r="M24" s="50">
        <s:f>SUM(E24:L24)</s:f>
        <s:v>0</s:v>
      </s:c>
      <s:c r="N24" s="28"/>
      <s:c r="O24" s="28"/>
      <s:c r="P24" s="38"/>
      <s:c r="Q24" s="38"/>
      <s:c r="R24" s="38"/>
      <s:c r="S24" s="38"/>
      <s:c r="T24" s="38"/>
    </s:row>
    <s:row r="25" spans="2:20" s="14" customFormat="1" ht="15" customHeight="1" outlineLevel="2">
      <s:c r="B25" s="615" t="s">
        <s:v>44</s:v>
      </s:c>
      <s:c r="C25" s="616"/>
      <s:c r="D25" s="617"/>
      <s:c r="E25" s="48">
        <s:f>+IFERROR(SUMIF('Калькулятор бюджета по этапам'!$C$158:$C$166,E$4,'Калькулятор бюджета по этапам'!$G$158:$G$166),0)</s:f>
        <s:v>0</s:v>
      </s:c>
      <s:c r="F25" s="49">
        <s:f>+IFERROR(SUMIF('Калькулятор бюджета по этапам'!$C$158:$C$166,F$4,'Калькулятор бюджета по этапам'!$G$158:$G$166),0)</s:f>
        <s:v>0</s:v>
      </s:c>
      <s:c r="G25" s="49">
        <s:f>+IFERROR(SUMIF('Калькулятор бюджета по этапам'!$C$158:$C$166,G$4,'Калькулятор бюджета по этапам'!$G$158:$G$166),0)</s:f>
        <s:v>0</s:v>
      </s:c>
      <s:c r="H25" s="49">
        <s:f>+IFERROR(SUMIF('Калькулятор бюджета по этапам'!$C$158:$C$166,H$4,'Калькулятор бюджета по этапам'!$G$158:$G$166),0)</s:f>
        <s:v>0</s:v>
      </s:c>
      <s:c r="I25" s="49">
        <s:f>+IFERROR(SUMIF('Калькулятор бюджета по этапам'!$C$158:$C$166,I$4,'Калькулятор бюджета по этапам'!$G$158:$G$166),0)</s:f>
        <s:v>0</s:v>
      </s:c>
      <s:c r="J25" s="49">
        <s:f>+IFERROR(SUMIF('Калькулятор бюджета по этапам'!$C$158:$C$166,J$4,'Калькулятор бюджета по этапам'!$G$158:$G$166),0)</s:f>
        <s:v>0</s:v>
      </s:c>
      <s:c r="K25" s="49">
        <s:f>+IFERROR(SUMIF('Калькулятор бюджета по этапам'!$C$158:$C$166,K$4,'Калькулятор бюджета по этапам'!$G$158:$G$166),0)</s:f>
        <s:v>0</s:v>
      </s:c>
      <s:c r="L25" s="49">
        <s:f>+IFERROR(SUMIF('Калькулятор бюджета по этапам'!$C$158:$C$166,L$4,'Калькулятор бюджета по этапам'!$G$158:$G$166),0)</s:f>
        <s:v>0</s:v>
      </s:c>
      <s:c r="M25" s="50">
        <s:f>SUM(E25:L25)</s:f>
        <s:v>0</s:v>
      </s:c>
      <s:c r="N25" s="28"/>
      <s:c r="O25" s="28"/>
      <s:c r="P25" s="38"/>
      <s:c r="Q25" s="38"/>
      <s:c r="R25" s="38"/>
      <s:c r="S25" s="38"/>
      <s:c r="T25" s="38"/>
    </s:row>
    <s:row r="26" spans="2:20" s="14" customFormat="1" ht="14.25" customHeight="1">
      <s:c r="B26" s="618" t="s">
        <s:v>46</s:v>
      </s:c>
      <s:c r="C26" s="619"/>
      <s:c r="D26" s="620"/>
      <s:c r="E26" s="55">
        <s:f>SUM(E27:E29)</s:f>
        <s:v>0</s:v>
      </s:c>
      <s:c r="F26" s="56">
        <s:f>SUM(F27:F29)</s:f>
        <s:v>0</s:v>
      </s:c>
      <s:c r="G26" s="56">
        <s:f>SUM(G27:G29)</s:f>
        <s:v>0</s:v>
      </s:c>
      <s:c r="H26" s="56">
        <s:f>SUM(H27:H29)</s:f>
        <s:v>0</s:v>
      </s:c>
      <s:c r="I26" s="56">
        <s:f>SUM(I27:I29)</s:f>
        <s:v>0</s:v>
      </s:c>
      <s:c r="J26" s="56">
        <s:f>SUM(J27:J29)</s:f>
        <s:v>0</s:v>
      </s:c>
      <s:c r="K26" s="56">
        <s:f>SUM(K27:K29)</s:f>
        <s:v>0</s:v>
      </s:c>
      <s:c r="L26" s="56">
        <s:f>SUM(L27:L29)</s:f>
        <s:v>0</s:v>
      </s:c>
      <s:c r="M26" s="57">
        <s:f>SUM(E26:L26)</s:f>
        <s:v>0</s:v>
      </s:c>
      <s:c r="N26" s="28"/>
      <s:c r="O26" s="28"/>
      <s:c r="P26" s="38"/>
      <s:c r="Q26" s="38"/>
      <s:c r="R26" s="38"/>
      <s:c r="S26" s="38"/>
      <s:c r="T26" s="38"/>
    </s:row>
    <s:row r="27" spans="2:20" s="14" customFormat="1" ht="14.25" customHeight="1" outlineLevel="1">
      <s:c r="B27" s="621" t="s">
        <s:v>39</s:v>
      </s:c>
      <s:c r="C27" s="622"/>
      <s:c r="D27" s="623"/>
      <s:c r="E27" s="58">
        <s:f>E10-E14</s:f>
        <s:v>0</s:v>
      </s:c>
      <s:c r="F27" s="59">
        <s:f>F10-F14</s:f>
        <s:v>0</s:v>
      </s:c>
      <s:c r="G27" s="59">
        <s:f>G10-G14</s:f>
        <s:v>0</s:v>
      </s:c>
      <s:c r="H27" s="59">
        <s:f>H10-H14</s:f>
        <s:v>0</s:v>
      </s:c>
      <s:c r="I27" s="59">
        <s:f>I10-I14</s:f>
        <s:v>0</s:v>
      </s:c>
      <s:c r="J27" s="59">
        <s:f>J10-J14</s:f>
        <s:v>0</s:v>
      </s:c>
      <s:c r="K27" s="59">
        <s:f>K10-K14</s:f>
        <s:v>0</s:v>
      </s:c>
      <s:c r="L27" s="59">
        <s:f>L10-L14</s:f>
        <s:v>0</s:v>
      </s:c>
      <s:c r="M27" s="60">
        <s:f>SUM(E27:L27)</s:f>
        <s:v>0</s:v>
      </s:c>
      <s:c r="N27" s="28"/>
      <s:c r="O27" s="28"/>
      <s:c r="P27" s="38"/>
      <s:c r="Q27" s="38"/>
      <s:c r="R27" s="38"/>
      <s:c r="S27" s="38"/>
      <s:c r="T27" s="38"/>
    </s:row>
    <s:row r="28" spans="2:20" s="14" customFormat="1" ht="15" customHeight="1" outlineLevel="1">
      <s:c r="B28" s="621" t="s">
        <s:v>36</s:v>
      </s:c>
      <s:c r="C28" s="622"/>
      <s:c r="D28" s="623"/>
      <s:c r="E28" s="58">
        <s:f>E11-E18</s:f>
        <s:v>0</s:v>
      </s:c>
      <s:c r="F28" s="59">
        <s:f>F11-F18</s:f>
        <s:v>0</s:v>
      </s:c>
      <s:c r="G28" s="59">
        <s:f>G11-G18</s:f>
        <s:v>0</s:v>
      </s:c>
      <s:c r="H28" s="59">
        <s:f>H11-H18</s:f>
        <s:v>0</s:v>
      </s:c>
      <s:c r="I28" s="59">
        <s:f>I11-I18</s:f>
        <s:v>0</s:v>
      </s:c>
      <s:c r="J28" s="59">
        <s:f>J11-J18</s:f>
        <s:v>0</s:v>
      </s:c>
      <s:c r="K28" s="59">
        <s:f>K11-K18</s:f>
        <s:v>0</s:v>
      </s:c>
      <s:c r="L28" s="59">
        <s:f>L11-L18</s:f>
        <s:v>0</s:v>
      </s:c>
      <s:c r="M28" s="60">
        <s:f>SUM(E28:L28)</s:f>
        <s:v>0</s:v>
      </s:c>
      <s:c r="N28" s="28"/>
      <s:c r="O28" s="28"/>
      <s:c r="P28" s="38"/>
      <s:c r="Q28" s="38"/>
      <s:c r="R28" s="38"/>
      <s:c r="S28" s="38"/>
      <s:c r="T28" s="38"/>
    </s:row>
    <s:row r="29" spans="2:20" s="14" customFormat="1" ht="15" customHeight="1" outlineLevel="1">
      <s:c r="B29" s="621" t="s">
        <s:v>37</s:v>
      </s:c>
      <s:c r="C29" s="622"/>
      <s:c r="D29" s="623"/>
      <s:c r="E29" s="58">
        <s:f>E12-E22</s:f>
        <s:v>0</s:v>
      </s:c>
      <s:c r="F29" s="59">
        <s:f>F12-F22</s:f>
        <s:v>0</s:v>
      </s:c>
      <s:c r="G29" s="59">
        <s:f>G12-G22</s:f>
        <s:v>0</s:v>
      </s:c>
      <s:c r="H29" s="59">
        <s:f>H12-H22</s:f>
        <s:v>0</s:v>
      </s:c>
      <s:c r="I29" s="59">
        <s:f>I12-I22</s:f>
        <s:v>0</s:v>
      </s:c>
      <s:c r="J29" s="59">
        <s:f>J12-J22</s:f>
        <s:v>0</s:v>
      </s:c>
      <s:c r="K29" s="59">
        <s:f>K12-K22</s:f>
        <s:v>0</s:v>
      </s:c>
      <s:c r="L29" s="59">
        <s:f>L12-L22</s:f>
        <s:v>0</s:v>
      </s:c>
      <s:c r="M29" s="60">
        <s:f>SUM(E29:L29)</s:f>
        <s:v>0</s:v>
      </s:c>
      <s:c r="N29" s="28"/>
      <s:c r="O29" s="28"/>
      <s:c r="P29" s="38"/>
      <s:c r="Q29" s="38"/>
      <s:c r="R29" s="38"/>
      <s:c r="S29" s="38"/>
      <s:c r="T29" s="38"/>
    </s:row>
    <s:row r="30" spans="2:20" s="14" customFormat="1" ht="15" customHeight="1">
      <s:c r="B30" s="618" t="s">
        <s:v>47</s:v>
      </s:c>
      <s:c r="C30" s="619"/>
      <s:c r="D30" s="620"/>
      <s:c r="E30" s="62" t="str">
        <s:f>IF(E9&lt;&gt;0,E26/E9,"")</s:f>
        <s:v/>
      </s:c>
      <s:c r="F30" s="63" t="str">
        <s:f>IF(F9&lt;&gt;0,F26/F9,"")</s:f>
        <s:v/>
      </s:c>
      <s:c r="G30" s="63" t="str">
        <s:f>IF(G9&lt;&gt;0,G26/G9,"")</s:f>
        <s:v/>
      </s:c>
      <s:c r="H30" s="63" t="str">
        <s:f>IF(H9&lt;&gt;0,H26/H9,"")</s:f>
        <s:v/>
      </s:c>
      <s:c r="I30" s="63" t="str">
        <s:f>IF(I9&lt;&gt;0,I26/I9,"")</s:f>
        <s:v/>
      </s:c>
      <s:c r="J30" s="63" t="str">
        <s:f>IF(J9&lt;&gt;0,J26/J9,"")</s:f>
        <s:v/>
      </s:c>
      <s:c r="K30" s="63" t="str">
        <s:f>IF(K9&lt;&gt;0,K26/K9,"")</s:f>
        <s:v/>
      </s:c>
      <s:c r="L30" s="63" t="str">
        <s:f>IF(L9&lt;&gt;0,L26/L9,"")</s:f>
        <s:v/>
      </s:c>
      <s:c r="M30" s="64" t="str">
        <s:f>IF(M9&lt;&gt;0,M26/M9,"")</s:f>
        <s:v/>
      </s:c>
      <s:c r="N30" s="28"/>
      <s:c r="O30" s="28"/>
      <s:c r="P30" s="38"/>
      <s:c r="Q30" s="38"/>
      <s:c r="R30" s="38"/>
      <s:c r="S30" s="38"/>
      <s:c r="T30" s="38"/>
    </s:row>
    <s:row r="31" spans="2:20" s="14" customFormat="1" ht="14.25" customHeight="1" outlineLevel="1">
      <s:c r="B31" s="621" t="s">
        <s:v>48</s:v>
      </s:c>
      <s:c r="C31" s="622"/>
      <s:c r="D31" s="623"/>
      <s:c r="E31" s="65" t="str">
        <s:f>IF(E10&lt;&gt;0,E27/E10,"")</s:f>
        <s:v/>
      </s:c>
      <s:c r="F31" s="66" t="str">
        <s:f>IF(F10&lt;&gt;0,F27/F10,"")</s:f>
        <s:v/>
      </s:c>
      <s:c r="G31" s="66" t="str">
        <s:f>IF(G10&lt;&gt;0,G27/G10,"")</s:f>
        <s:v/>
      </s:c>
      <s:c r="H31" s="66" t="str">
        <s:f>IF(H10&lt;&gt;0,H27/H10,"")</s:f>
        <s:v/>
      </s:c>
      <s:c r="I31" s="66" t="str">
        <s:f>IF(I10&lt;&gt;0,I27/I10,"")</s:f>
        <s:v/>
      </s:c>
      <s:c r="J31" s="66" t="str">
        <s:f>IF(J10&lt;&gt;0,J27/J10,"")</s:f>
        <s:v/>
      </s:c>
      <s:c r="K31" s="66" t="str">
        <s:f>IF(K10&lt;&gt;0,K27/K10,"")</s:f>
        <s:v/>
      </s:c>
      <s:c r="L31" s="66" t="str">
        <s:f>IF(L10&lt;&gt;0,L27/L10,"")</s:f>
        <s:v/>
      </s:c>
      <s:c r="M31" s="67" t="str">
        <s:f>IF(M10&lt;&gt;0,M27/M10,"")</s:f>
        <s:v/>
      </s:c>
      <s:c r="N31" s="28"/>
      <s:c r="O31" s="28"/>
      <s:c r="P31" s="38"/>
      <s:c r="Q31" s="38"/>
      <s:c r="R31" s="38"/>
      <s:c r="S31" s="38"/>
      <s:c r="T31" s="38"/>
    </s:row>
    <s:row r="32" spans="2:20" s="14" customFormat="1" ht="15" customHeight="1" outlineLevel="1">
      <s:c r="B32" s="621" t="s">
        <s:v>49</s:v>
      </s:c>
      <s:c r="C32" s="622"/>
      <s:c r="D32" s="623"/>
      <s:c r="E32" s="65" t="str">
        <s:f>IF(E11&lt;&gt;0,E28/E11,"")</s:f>
        <s:v/>
      </s:c>
      <s:c r="F32" s="66" t="str">
        <s:f>IF(F11&lt;&gt;0,F28/F11,"")</s:f>
        <s:v/>
      </s:c>
      <s:c r="G32" s="66" t="str">
        <s:f>IF(G11&lt;&gt;0,G28/G11,"")</s:f>
        <s:v/>
      </s:c>
      <s:c r="H32" s="66" t="str">
        <s:f>IF(H11&lt;&gt;0,H28/H11,"")</s:f>
        <s:v/>
      </s:c>
      <s:c r="I32" s="66" t="str">
        <s:f>IF(I11&lt;&gt;0,I28/I11,"")</s:f>
        <s:v/>
      </s:c>
      <s:c r="J32" s="66" t="str">
        <s:f>IF(J11&lt;&gt;0,J28/J11,"")</s:f>
        <s:v/>
      </s:c>
      <s:c r="K32" s="66" t="str">
        <s:f>IF(K11&lt;&gt;0,K28/K11,"")</s:f>
        <s:v/>
      </s:c>
      <s:c r="L32" s="66" t="str">
        <s:f>IF(L11&lt;&gt;0,L28/L11,"")</s:f>
        <s:v/>
      </s:c>
      <s:c r="M32" s="67" t="str">
        <s:f>IF(M11&lt;&gt;0,M28/M11,"")</s:f>
        <s:v/>
      </s:c>
      <s:c r="N32" s="28"/>
      <s:c r="O32" s="28"/>
      <s:c r="P32" s="38"/>
      <s:c r="Q32" s="38"/>
      <s:c r="R32" s="38"/>
      <s:c r="S32" s="38"/>
      <s:c r="T32" s="38"/>
    </s:row>
    <s:row r="33" spans="2:20" s="14" customFormat="1" ht="15" customHeight="1" outlineLevel="1" thickBot="1">
      <s:c r="B33" s="624" t="s">
        <s:v>50</s:v>
      </s:c>
      <s:c r="C33" s="625"/>
      <s:c r="D33" s="626"/>
      <s:c r="E33" s="68" t="str">
        <s:f>IF(E12&lt;&gt;0,E29/E12,"")</s:f>
        <s:v/>
      </s:c>
      <s:c r="F33" s="69" t="str">
        <s:f>IF(F12&lt;&gt;0,F29/F12,"")</s:f>
        <s:v/>
      </s:c>
      <s:c r="G33" s="69" t="str">
        <s:f>IF(G12&lt;&gt;0,G29/G12,"")</s:f>
        <s:v/>
      </s:c>
      <s:c r="H33" s="69" t="str">
        <s:f>IF(H12&lt;&gt;0,H29/H12,"")</s:f>
        <s:v/>
      </s:c>
      <s:c r="I33" s="69" t="str">
        <s:f>IF(I12&lt;&gt;0,I29/I12,"")</s:f>
        <s:v/>
      </s:c>
      <s:c r="J33" s="69" t="str">
        <s:f>IF(J12&lt;&gt;0,J29/J12,"")</s:f>
        <s:v/>
      </s:c>
      <s:c r="K33" s="69" t="str">
        <s:f>IF(K12&lt;&gt;0,K29/K12,"")</s:f>
        <s:v/>
      </s:c>
      <s:c r="L33" s="69" t="str">
        <s:f>IF(L12&lt;&gt;0,L29/L12,"")</s:f>
        <s:v/>
      </s:c>
      <s:c r="M33" s="70" t="str">
        <s:f>IF(M12&lt;&gt;0,M29/M12,"")</s:f>
        <s:v/>
      </s:c>
      <s:c r="N33" s="28"/>
      <s:c r="O33" s="28"/>
      <s:c r="P33" s="38"/>
      <s:c r="Q33" s="38"/>
      <s:c r="R33" s="38"/>
      <s:c r="S33" s="38"/>
      <s:c r="T33" s="38"/>
    </s:row>
    <s:row r="34" spans="2:20" s="14" customFormat="1" ht="13.2">
      <s:c r="B34" s="28"/>
      <s:c r="C34" s="28"/>
      <s:c r="D34" s="28"/>
      <s:c r="E34" s="28"/>
      <s:c r="F34" s="28"/>
      <s:c r="G34" s="28"/>
      <s:c r="H34" s="28"/>
      <s:c r="I34" s="28"/>
      <s:c r="J34" s="28"/>
      <s:c r="K34" s="28"/>
      <s:c r="L34" s="28"/>
      <s:c r="M34" s="28"/>
      <s:c r="N34" s="28"/>
      <s:c r="O34" s="28"/>
      <s:c r="P34" s="38"/>
      <s:c r="Q34" s="38"/>
      <s:c r="R34" s="38"/>
      <s:c r="S34" s="38"/>
    </s:row>
    <s:row r="35" spans="2:20" s="74" customFormat="1" ht="16.5" customHeight="1">
      <s:c r="B35" s="28"/>
      <s:c r="C35" s="28"/>
      <s:c r="D35" s="28"/>
      <s:c r="E35" s="28"/>
      <s:c r="F35" s="28"/>
      <s:c r="G35" s="28"/>
      <s:c r="H35" s="28"/>
      <s:c r="I35" s="28"/>
      <s:c r="J35" s="28"/>
      <s:c r="K35" s="28"/>
      <s:c r="L35" s="28"/>
      <s:c r="M35" s="28"/>
      <s:c r="N35" s="28"/>
      <s:c r="O35" s="28"/>
    </s:row>
    <s:row r="36" spans="2:20" ht="30" customHeight="1"/>
    <s:row r="38" spans="2:20" ht="15.45" customHeight="1"/>
    <s:row r="39" spans="2:20" ht="15.45" customHeight="1"/>
    <s:row r="40" spans="2:20" ht="15.45" customHeight="1"/>
    <s:row r="41" spans="2:20" ht="15.45" customHeight="1"/>
    <s:row r="42" spans="2:20" ht="15.45" customHeight="1"/>
    <s:row r="43" spans="2:20" ht="15.45" customHeight="1"/>
    <s:row r="44" spans="2:20" ht="15.45" customHeight="1"/>
    <s:row r="45" spans="2:20" ht="15.45" customHeight="1"/>
    <s:row r="46" spans="2:20" ht="15.45" customHeight="1"/>
    <s:row r="47" spans="2:20" ht="15.45" customHeight="1"/>
    <s:row r="48" spans="2:20" ht="15.45" customHeight="1"/>
    <s:row r="49" spans="2:15" ht="15.45" customHeight="1"/>
    <s:row r="50" spans="2:15" ht="15.45" customHeight="1"/>
    <s:row r="51" spans="2:15" ht="15.45" customHeight="1"/>
    <s:row r="52" spans="2:15" ht="15.45" customHeight="1"/>
    <s:row r="53" spans="2:15" s="88" customFormat="1" ht="15.45" customHeight="1">
      <s:c r="B53" s="28"/>
      <s:c r="C53" s="28"/>
      <s:c r="D53" s="28"/>
      <s:c r="E53" s="28"/>
      <s:c r="F53" s="28"/>
      <s:c r="G53" s="28"/>
      <s:c r="H53" s="28"/>
      <s:c r="I53" s="28"/>
      <s:c r="J53" s="28"/>
      <s:c r="K53" s="28"/>
      <s:c r="L53" s="28"/>
      <s:c r="M53" s="28"/>
      <s:c r="N53" s="28"/>
      <s:c r="O53" s="28"/>
    </s:row>
    <s:row r="54" spans="2:15" ht="15.45" customHeight="1"/>
    <s:row r="55" spans="2:15" ht="15.45" customHeight="1"/>
    <s:row r="56" spans="2:15" ht="15.45" customHeight="1"/>
    <s:row r="57" spans="2:15" ht="15.45" customHeight="1"/>
    <s:row r="58" spans="2:15" ht="15.45" customHeight="1"/>
    <s:row r="59" spans="2:15" ht="15.45" customHeight="1"/>
    <s:row r="60" spans="2:15" ht="15.45" customHeight="1"/>
    <s:row r="61" spans="2:15" ht="15.45" customHeight="1"/>
    <s:row r="62" spans="2:15" ht="15.45" customHeight="1"/>
    <s:row r="63" spans="2:15" ht="15.45" customHeight="1"/>
    <s:row r="64" spans="2:15" ht="15.45" customHeight="1"/>
    <s:row r="65" spans="2:16" ht="12.75" customHeight="1">
      <s:c r="P65" s="30"/>
    </s:row>
    <s:row r="66" spans="2:16" ht="12.75" customHeight="1"/>
    <s:row r="67" spans="2:16" s="74" customFormat="1" ht="18" customHeight="1">
      <s:c r="B67" s="28"/>
      <s:c r="C67" s="28"/>
      <s:c r="D67" s="28"/>
      <s:c r="E67" s="28"/>
      <s:c r="F67" s="28"/>
      <s:c r="G67" s="28"/>
      <s:c r="H67" s="28"/>
      <s:c r="I67" s="28"/>
      <s:c r="J67" s="28"/>
      <s:c r="K67" s="28"/>
      <s:c r="L67" s="28"/>
      <s:c r="M67" s="28"/>
      <s:c r="N67" s="28"/>
      <s:c r="O67" s="28"/>
    </s:row>
    <s:row r="68" spans="2:16" ht="30" customHeight="1"/>
    <s:row r="69" spans="2:16" ht="12.75" customHeight="1"/>
    <s:row r="70" spans="2:16" ht="12" customHeight="1"/>
    <s:row r="71" spans="2:16" ht="12" customHeight="1"/>
    <s:row r="72" spans="2:16" ht="12" customHeight="1"/>
    <s:row r="73" spans="2:16" ht="12" customHeight="1"/>
    <s:row r="74" spans="2:16" ht="12" customHeight="1"/>
    <s:row r="75" spans="2:16" ht="12" customHeight="1"/>
    <s:row r="76" spans="2:16" ht="12" customHeight="1"/>
    <s:row r="77" spans="2:16" ht="12" customHeight="1"/>
    <s:row r="78" spans="2:16" ht="12" customHeight="1"/>
    <s:row r="79" spans="2:16" ht="12.75" customHeight="1"/>
    <s:row r="80" spans="2:16" ht="12.75" customHeight="1"/>
    <s:row r="81" spans="2:15" s="74" customFormat="1" ht="18.75" customHeight="1">
      <s:c r="B81" s="28"/>
      <s:c r="C81" s="28"/>
      <s:c r="D81" s="28"/>
      <s:c r="E81" s="28"/>
      <s:c r="F81" s="28"/>
      <s:c r="G81" s="28"/>
      <s:c r="H81" s="28"/>
      <s:c r="I81" s="28"/>
      <s:c r="J81" s="28"/>
      <s:c r="K81" s="28"/>
      <s:c r="L81" s="28"/>
      <s:c r="M81" s="28"/>
      <s:c r="N81" s="28"/>
      <s:c r="O81" s="28"/>
    </s:row>
    <s:row r="82" spans="2:15" ht="30" customHeight="1"/>
    <s:row r="83" spans="2:15" ht="12.75" customHeight="1"/>
    <s:row r="84" spans="2:15" ht="12" customHeight="1"/>
    <s:row r="85" spans="2:15" ht="12" customHeight="1"/>
    <s:row r="86" spans="2:15" ht="12" customHeight="1"/>
    <s:row r="87" spans="2:15" ht="12" customHeight="1"/>
    <s:row r="88" spans="2:15" ht="12" customHeight="1"/>
    <s:row r="89" spans="2:15" ht="12" customHeight="1"/>
    <s:row r="90" spans="2:15" ht="12" customHeight="1"/>
    <s:row r="91" spans="2:15" ht="12" customHeight="1"/>
    <s:row r="92" spans="2:15" ht="12" customHeight="1"/>
    <s:row r="93" spans="2:15" ht="12.75" customHeight="1"/>
    <s:row r="94" spans="2:15" ht="12.75" customHeight="1"/>
    <s:row r="95" spans="2:15" ht="19.5" customHeight="1"/>
    <s:row r="96" spans="2:15" ht="29.25" customHeight="1"/>
    <s:row r="97" ht="12.75" customHeight="1"/>
    <s:row r="98" ht="12" customHeight="1"/>
    <s:row r="99" ht="12" customHeight="1"/>
    <s:row r="100" ht="12" customHeight="1"/>
    <s:row r="101" ht="12" customHeight="1"/>
    <s:row r="102" ht="12" customHeight="1"/>
    <s:row r="103" ht="12" customHeight="1"/>
    <s:row r="104" ht="17.25" customHeight="1"/>
    <s:row r="105" ht="27.75" customHeight="1"/>
    <s:row r="106" ht="12.75" customHeight="1"/>
    <s:row r="110" ht="12.75" customHeight="1"/>
    <s:row r="111" ht="12.75" customHeight="1"/>
    <s:row r="112" ht="17.25" customHeight="1"/>
    <s:row r="113" spans="2:15" ht="27.75" customHeight="1"/>
    <s:row r="114" spans="2:15" ht="12.75" customHeight="1"/>
    <s:row r="119" spans="2:15" ht="12.75" customHeight="1"/>
    <s:row r="120" spans="2:15" ht="12.75" customHeight="1"/>
    <s:row r="121" spans="2:15" s="74" customFormat="1" ht="25.5" customHeight="1">
      <s:c r="B121" s="28"/>
      <s:c r="C121" s="28"/>
      <s:c r="D121" s="28"/>
      <s:c r="E121" s="28"/>
      <s:c r="F121" s="28"/>
      <s:c r="G121" s="28"/>
      <s:c r="H121" s="28"/>
      <s:c r="I121" s="28"/>
      <s:c r="J121" s="28"/>
      <s:c r="K121" s="28"/>
      <s:c r="L121" s="28"/>
      <s:c r="M121" s="28"/>
      <s:c r="N121" s="28"/>
      <s:c r="O121" s="28"/>
    </s:row>
    <s:row r="122" spans="2:15" s="74" customFormat="1" ht="33" customHeight="1">
      <s:c r="B122" s="28"/>
      <s:c r="C122" s="28"/>
      <s:c r="D122" s="28"/>
      <s:c r="E122" s="28"/>
      <s:c r="F122" s="28"/>
      <s:c r="G122" s="28"/>
      <s:c r="H122" s="28"/>
      <s:c r="I122" s="28"/>
      <s:c r="J122" s="28"/>
      <s:c r="K122" s="28"/>
      <s:c r="L122" s="28"/>
      <s:c r="M122" s="28"/>
      <s:c r="N122" s="28"/>
      <s:c r="O122" s="28"/>
    </s:row>
    <s:row r="123" spans="2:15" s="74" customFormat="1" ht="15" customHeight="1">
      <s:c r="B123" s="28"/>
      <s:c r="C123" s="28"/>
      <s:c r="D123" s="28"/>
      <s:c r="E123" s="28"/>
      <s:c r="F123" s="28"/>
      <s:c r="G123" s="28"/>
      <s:c r="H123" s="28"/>
      <s:c r="I123" s="28"/>
      <s:c r="J123" s="28"/>
      <s:c r="K123" s="28"/>
      <s:c r="L123" s="28"/>
      <s:c r="M123" s="28"/>
      <s:c r="N123" s="28"/>
      <s:c r="O123" s="28"/>
    </s:row>
    <s:row r="124" spans="2:15" s="74" customFormat="1">
      <s:c r="B124" s="28"/>
      <s:c r="C124" s="28"/>
      <s:c r="D124" s="28"/>
      <s:c r="E124" s="28"/>
      <s:c r="F124" s="28"/>
      <s:c r="G124" s="28"/>
      <s:c r="H124" s="28"/>
      <s:c r="I124" s="28"/>
      <s:c r="J124" s="28"/>
      <s:c r="K124" s="28"/>
      <s:c r="L124" s="28"/>
      <s:c r="M124" s="28"/>
      <s:c r="N124" s="28"/>
      <s:c r="O124" s="28"/>
    </s:row>
    <s:row r="125" spans="2:15" s="74" customFormat="1">
      <s:c r="B125" s="28"/>
      <s:c r="C125" s="28"/>
      <s:c r="D125" s="28"/>
      <s:c r="E125" s="28"/>
      <s:c r="F125" s="28"/>
      <s:c r="G125" s="28"/>
      <s:c r="H125" s="28"/>
      <s:c r="I125" s="28"/>
      <s:c r="J125" s="28"/>
      <s:c r="K125" s="28"/>
      <s:c r="L125" s="28"/>
      <s:c r="M125" s="28"/>
      <s:c r="N125" s="28"/>
      <s:c r="O125" s="28"/>
    </s:row>
    <s:row r="126" spans="2:15" s="74" customFormat="1">
      <s:c r="B126" s="28"/>
      <s:c r="C126" s="28"/>
      <s:c r="D126" s="28"/>
      <s:c r="E126" s="28"/>
      <s:c r="F126" s="28"/>
      <s:c r="G126" s="28"/>
      <s:c r="H126" s="28"/>
      <s:c r="I126" s="28"/>
      <s:c r="J126" s="28"/>
      <s:c r="K126" s="28"/>
      <s:c r="L126" s="28"/>
      <s:c r="M126" s="28"/>
      <s:c r="N126" s="28"/>
      <s:c r="O126" s="28"/>
    </s:row>
    <s:row r="127" spans="2:15" s="74" customFormat="1">
      <s:c r="B127" s="28"/>
      <s:c r="C127" s="28"/>
      <s:c r="D127" s="28"/>
      <s:c r="E127" s="28"/>
      <s:c r="F127" s="28"/>
      <s:c r="G127" s="28"/>
      <s:c r="H127" s="28"/>
      <s:c r="I127" s="28"/>
      <s:c r="J127" s="28"/>
      <s:c r="K127" s="28"/>
      <s:c r="L127" s="28"/>
      <s:c r="M127" s="28"/>
      <s:c r="N127" s="28"/>
      <s:c r="O127" s="28"/>
    </s:row>
    <s:row r="128" spans="2:15" s="74" customFormat="1">
      <s:c r="B128" s="28"/>
      <s:c r="C128" s="28"/>
      <s:c r="D128" s="28"/>
      <s:c r="E128" s="28"/>
      <s:c r="F128" s="28"/>
      <s:c r="G128" s="28"/>
      <s:c r="H128" s="28"/>
      <s:c r="I128" s="28"/>
      <s:c r="J128" s="28"/>
      <s:c r="K128" s="28"/>
      <s:c r="L128" s="28"/>
      <s:c r="M128" s="28"/>
      <s:c r="N128" s="28"/>
      <s:c r="O128" s="28"/>
    </s:row>
    <s:row r="129" spans="2:15" s="74" customFormat="1">
      <s:c r="B129" s="28"/>
      <s:c r="C129" s="28"/>
      <s:c r="D129" s="28"/>
      <s:c r="E129" s="28"/>
      <s:c r="F129" s="28"/>
      <s:c r="G129" s="28"/>
      <s:c r="H129" s="28"/>
      <s:c r="I129" s="28"/>
      <s:c r="J129" s="28"/>
      <s:c r="K129" s="28"/>
      <s:c r="L129" s="28"/>
      <s:c r="M129" s="28"/>
      <s:c r="N129" s="28"/>
      <s:c r="O129" s="28"/>
    </s:row>
    <s:row r="130" spans="2:15" s="74" customFormat="1" ht="12" customHeight="1">
      <s:c r="B130" s="28"/>
      <s:c r="C130" s="28"/>
      <s:c r="D130" s="28"/>
      <s:c r="E130" s="28"/>
      <s:c r="F130" s="28"/>
      <s:c r="G130" s="28"/>
      <s:c r="H130" s="28"/>
      <s:c r="I130" s="28"/>
      <s:c r="J130" s="28"/>
      <s:c r="K130" s="28"/>
      <s:c r="L130" s="28"/>
      <s:c r="M130" s="28"/>
      <s:c r="N130" s="28"/>
      <s:c r="O130" s="28"/>
    </s:row>
    <s:row r="131" spans="2:15" s="74" customFormat="1" ht="12" customHeight="1">
      <s:c r="B131" s="28"/>
      <s:c r="C131" s="28"/>
      <s:c r="D131" s="28"/>
      <s:c r="E131" s="28"/>
      <s:c r="F131" s="28"/>
      <s:c r="G131" s="28"/>
      <s:c r="H131" s="28"/>
      <s:c r="I131" s="28"/>
      <s:c r="J131" s="28"/>
      <s:c r="K131" s="28"/>
      <s:c r="L131" s="28"/>
      <s:c r="M131" s="28"/>
      <s:c r="N131" s="28"/>
      <s:c r="O131" s="28"/>
    </s:row>
    <s:row r="132" spans="2:15" s="74" customFormat="1" ht="18" customHeight="1">
      <s:c r="B132" s="28"/>
      <s:c r="C132" s="28"/>
      <s:c r="D132" s="28"/>
      <s:c r="E132" s="28"/>
      <s:c r="F132" s="28"/>
      <s:c r="G132" s="28"/>
      <s:c r="H132" s="28"/>
      <s:c r="I132" s="28"/>
      <s:c r="J132" s="28"/>
      <s:c r="K132" s="28"/>
      <s:c r="L132" s="28"/>
      <s:c r="M132" s="28"/>
      <s:c r="N132" s="28"/>
      <s:c r="O132" s="28"/>
    </s:row>
    <s:row r="133" spans="2:15" s="74" customFormat="1" ht="32.25" customHeight="1">
      <s:c r="B133" s="28"/>
      <s:c r="C133" s="28"/>
      <s:c r="D133" s="28"/>
      <s:c r="E133" s="28"/>
      <s:c r="F133" s="28"/>
      <s:c r="G133" s="28"/>
      <s:c r="H133" s="28"/>
      <s:c r="I133" s="28"/>
      <s:c r="J133" s="28"/>
      <s:c r="K133" s="28"/>
      <s:c r="L133" s="28"/>
      <s:c r="M133" s="28"/>
      <s:c r="N133" s="28"/>
      <s:c r="O133" s="28"/>
    </s:row>
    <s:row r="134" spans="2:15" s="74" customFormat="1">
      <s:c r="B134" s="28"/>
      <s:c r="C134" s="28"/>
      <s:c r="D134" s="28"/>
      <s:c r="E134" s="28"/>
      <s:c r="F134" s="28"/>
      <s:c r="G134" s="28"/>
      <s:c r="H134" s="28"/>
      <s:c r="I134" s="28"/>
      <s:c r="J134" s="28"/>
      <s:c r="K134" s="28"/>
      <s:c r="L134" s="28"/>
      <s:c r="M134" s="28"/>
      <s:c r="N134" s="28"/>
      <s:c r="O134" s="28"/>
    </s:row>
    <s:row r="135" spans="2:15" s="74" customFormat="1">
      <s:c r="B135" s="28"/>
      <s:c r="C135" s="28"/>
      <s:c r="D135" s="28"/>
      <s:c r="E135" s="28"/>
      <s:c r="F135" s="28"/>
      <s:c r="G135" s="28"/>
      <s:c r="H135" s="28"/>
      <s:c r="I135" s="28"/>
      <s:c r="J135" s="28"/>
      <s:c r="K135" s="28"/>
      <s:c r="L135" s="28"/>
      <s:c r="M135" s="28"/>
      <s:c r="N135" s="28"/>
      <s:c r="O135" s="28"/>
    </s:row>
    <s:row r="136" spans="2:15" s="74" customFormat="1">
      <s:c r="B136" s="28"/>
      <s:c r="C136" s="28"/>
      <s:c r="D136" s="28"/>
      <s:c r="E136" s="28"/>
      <s:c r="F136" s="28"/>
      <s:c r="G136" s="28"/>
      <s:c r="H136" s="28"/>
      <s:c r="I136" s="28"/>
      <s:c r="J136" s="28"/>
      <s:c r="K136" s="28"/>
      <s:c r="L136" s="28"/>
      <s:c r="M136" s="28"/>
      <s:c r="N136" s="28"/>
      <s:c r="O136" s="28"/>
    </s:row>
    <s:row r="137" spans="2:15" s="74" customFormat="1">
      <s:c r="B137" s="28"/>
      <s:c r="C137" s="28"/>
      <s:c r="D137" s="28"/>
      <s:c r="E137" s="28"/>
      <s:c r="F137" s="28"/>
      <s:c r="G137" s="28"/>
      <s:c r="H137" s="28"/>
      <s:c r="I137" s="28"/>
      <s:c r="J137" s="28"/>
      <s:c r="K137" s="28"/>
      <s:c r="L137" s="28"/>
      <s:c r="M137" s="28"/>
      <s:c r="N137" s="28"/>
      <s:c r="O137" s="28"/>
    </s:row>
    <s:row r="138" spans="2:15" s="74" customFormat="1">
      <s:c r="B138" s="28"/>
      <s:c r="C138" s="28"/>
      <s:c r="D138" s="28"/>
      <s:c r="E138" s="28"/>
      <s:c r="F138" s="28"/>
      <s:c r="G138" s="28"/>
      <s:c r="H138" s="28"/>
      <s:c r="I138" s="28"/>
      <s:c r="J138" s="28"/>
      <s:c r="K138" s="28"/>
      <s:c r="L138" s="28"/>
      <s:c r="M138" s="28"/>
      <s:c r="N138" s="28"/>
      <s:c r="O138" s="28"/>
    </s:row>
    <s:row r="139" spans="2:15" s="74" customFormat="1">
      <s:c r="B139" s="28"/>
      <s:c r="C139" s="28"/>
      <s:c r="D139" s="28"/>
      <s:c r="E139" s="28"/>
      <s:c r="F139" s="28"/>
      <s:c r="G139" s="28"/>
      <s:c r="H139" s="28"/>
      <s:c r="I139" s="28"/>
      <s:c r="J139" s="28"/>
      <s:c r="K139" s="28"/>
      <s:c r="L139" s="28"/>
      <s:c r="M139" s="28"/>
      <s:c r="N139" s="28"/>
      <s:c r="O139" s="28"/>
    </s:row>
    <s:row r="140" spans="2:15" s="74" customFormat="1">
      <s:c r="B140" s="28"/>
      <s:c r="C140" s="28"/>
      <s:c r="D140" s="28"/>
      <s:c r="E140" s="28"/>
      <s:c r="F140" s="28"/>
      <s:c r="G140" s="28"/>
      <s:c r="H140" s="28"/>
      <s:c r="I140" s="28"/>
      <s:c r="J140" s="28"/>
      <s:c r="K140" s="28"/>
      <s:c r="L140" s="28"/>
      <s:c r="M140" s="28"/>
      <s:c r="N140" s="28"/>
      <s:c r="O140" s="28"/>
    </s:row>
    <s:row r="141" spans="2:15" s="74" customFormat="1" ht="12" customHeight="1">
      <s:c r="B141" s="28"/>
      <s:c r="C141" s="28"/>
      <s:c r="D141" s="28"/>
      <s:c r="E141" s="28"/>
      <s:c r="F141" s="28"/>
      <s:c r="G141" s="28"/>
      <s:c r="H141" s="28"/>
      <s:c r="I141" s="28"/>
      <s:c r="J141" s="28"/>
      <s:c r="K141" s="28"/>
      <s:c r="L141" s="28"/>
      <s:c r="M141" s="28"/>
      <s:c r="N141" s="28"/>
      <s:c r="O141" s="28"/>
    </s:row>
    <s:row r="142" spans="2:15" s="74" customFormat="1" ht="12" customHeight="1">
      <s:c r="B142" s="28"/>
      <s:c r="C142" s="28"/>
      <s:c r="D142" s="28"/>
      <s:c r="E142" s="28"/>
      <s:c r="F142" s="28"/>
      <s:c r="G142" s="28"/>
      <s:c r="H142" s="28"/>
      <s:c r="I142" s="28"/>
      <s:c r="J142" s="28"/>
      <s:c r="K142" s="28"/>
      <s:c r="L142" s="28"/>
      <s:c r="M142" s="28"/>
      <s:c r="N142" s="28"/>
      <s:c r="O142" s="28"/>
    </s:row>
    <s:row r="143" spans="2:15" s="74" customFormat="1" ht="18" customHeight="1">
      <s:c r="B143" s="28"/>
      <s:c r="C143" s="28"/>
      <s:c r="D143" s="28"/>
      <s:c r="E143" s="28"/>
      <s:c r="F143" s="28"/>
      <s:c r="G143" s="28"/>
      <s:c r="H143" s="28"/>
      <s:c r="I143" s="28"/>
      <s:c r="J143" s="28"/>
      <s:c r="K143" s="28"/>
      <s:c r="L143" s="28"/>
      <s:c r="M143" s="28"/>
      <s:c r="N143" s="28"/>
      <s:c r="O143" s="28"/>
    </s:row>
    <s:row r="144" spans="2:15" s="74" customFormat="1" ht="32.25" customHeight="1">
      <s:c r="B144" s="28"/>
      <s:c r="C144" s="28"/>
      <s:c r="D144" s="28"/>
      <s:c r="E144" s="28"/>
      <s:c r="F144" s="28"/>
      <s:c r="G144" s="28"/>
      <s:c r="H144" s="28"/>
      <s:c r="I144" s="28"/>
      <s:c r="J144" s="28"/>
      <s:c r="K144" s="28"/>
      <s:c r="L144" s="28"/>
      <s:c r="M144" s="28"/>
      <s:c r="N144" s="28"/>
      <s:c r="O144" s="28"/>
    </s:row>
    <s:row r="145" spans="2:15" s="74" customFormat="1">
      <s:c r="B145" s="28"/>
      <s:c r="C145" s="28"/>
      <s:c r="D145" s="28"/>
      <s:c r="E145" s="28"/>
      <s:c r="F145" s="28"/>
      <s:c r="G145" s="28"/>
      <s:c r="H145" s="28"/>
      <s:c r="I145" s="28"/>
      <s:c r="J145" s="28"/>
      <s:c r="K145" s="28"/>
      <s:c r="L145" s="28"/>
      <s:c r="M145" s="28"/>
      <s:c r="N145" s="28"/>
      <s:c r="O145" s="28"/>
    </s:row>
    <s:row r="146" spans="2:15" s="74" customFormat="1">
      <s:c r="B146" s="28"/>
      <s:c r="C146" s="28"/>
      <s:c r="D146" s="28"/>
      <s:c r="E146" s="28"/>
      <s:c r="F146" s="28"/>
      <s:c r="G146" s="28"/>
      <s:c r="H146" s="28"/>
      <s:c r="I146" s="28"/>
      <s:c r="J146" s="28"/>
      <s:c r="K146" s="28"/>
      <s:c r="L146" s="28"/>
      <s:c r="M146" s="28"/>
      <s:c r="N146" s="28"/>
      <s:c r="O146" s="28"/>
    </s:row>
    <s:row r="147" spans="2:15" s="74" customFormat="1">
      <s:c r="B147" s="28"/>
      <s:c r="C147" s="28"/>
      <s:c r="D147" s="28"/>
      <s:c r="E147" s="28"/>
      <s:c r="F147" s="28"/>
      <s:c r="G147" s="28"/>
      <s:c r="H147" s="28"/>
      <s:c r="I147" s="28"/>
      <s:c r="J147" s="28"/>
      <s:c r="K147" s="28"/>
      <s:c r="L147" s="28"/>
      <s:c r="M147" s="28"/>
      <s:c r="N147" s="28"/>
      <s:c r="O147" s="28"/>
    </s:row>
    <s:row r="148" spans="2:15" s="74" customFormat="1">
      <s:c r="B148" s="28"/>
      <s:c r="C148" s="28"/>
      <s:c r="D148" s="28"/>
      <s:c r="E148" s="28"/>
      <s:c r="F148" s="28"/>
      <s:c r="G148" s="28"/>
      <s:c r="H148" s="28"/>
      <s:c r="I148" s="28"/>
      <s:c r="J148" s="28"/>
      <s:c r="K148" s="28"/>
      <s:c r="L148" s="28"/>
      <s:c r="M148" s="28"/>
      <s:c r="N148" s="28"/>
      <s:c r="O148" s="28"/>
    </s:row>
    <s:row r="149" spans="2:15" s="74" customFormat="1">
      <s:c r="B149" s="28"/>
      <s:c r="C149" s="28"/>
      <s:c r="D149" s="28"/>
      <s:c r="E149" s="28"/>
      <s:c r="F149" s="28"/>
      <s:c r="G149" s="28"/>
      <s:c r="H149" s="28"/>
      <s:c r="I149" s="28"/>
      <s:c r="J149" s="28"/>
      <s:c r="K149" s="28"/>
      <s:c r="L149" s="28"/>
      <s:c r="M149" s="28"/>
      <s:c r="N149" s="28"/>
      <s:c r="O149" s="28"/>
    </s:row>
    <s:row r="150" spans="2:15" s="74" customFormat="1">
      <s:c r="B150" s="28"/>
      <s:c r="C150" s="28"/>
      <s:c r="D150" s="28"/>
      <s:c r="E150" s="28"/>
      <s:c r="F150" s="28"/>
      <s:c r="G150" s="28"/>
      <s:c r="H150" s="28"/>
      <s:c r="I150" s="28"/>
      <s:c r="J150" s="28"/>
      <s:c r="K150" s="28"/>
      <s:c r="L150" s="28"/>
      <s:c r="M150" s="28"/>
      <s:c r="N150" s="28"/>
      <s:c r="O150" s="28"/>
    </s:row>
    <s:row r="151" spans="2:15" s="74" customFormat="1">
      <s:c r="B151" s="28"/>
      <s:c r="C151" s="28"/>
      <s:c r="D151" s="28"/>
      <s:c r="E151" s="28"/>
      <s:c r="F151" s="28"/>
      <s:c r="G151" s="28"/>
      <s:c r="H151" s="28"/>
      <s:c r="I151" s="28"/>
      <s:c r="J151" s="28"/>
      <s:c r="K151" s="28"/>
      <s:c r="L151" s="28"/>
      <s:c r="M151" s="28"/>
      <s:c r="N151" s="28"/>
      <s:c r="O151" s="28"/>
    </s:row>
    <s:row r="152" spans="2:15" s="74" customFormat="1" ht="12" customHeight="1">
      <s:c r="B152" s="28"/>
      <s:c r="C152" s="28"/>
      <s:c r="D152" s="28"/>
      <s:c r="E152" s="28"/>
      <s:c r="F152" s="28"/>
      <s:c r="G152" s="28"/>
      <s:c r="H152" s="28"/>
      <s:c r="I152" s="28"/>
      <s:c r="J152" s="28"/>
      <s:c r="K152" s="28"/>
      <s:c r="L152" s="28"/>
      <s:c r="M152" s="28"/>
      <s:c r="N152" s="28"/>
      <s:c r="O152" s="28"/>
    </s:row>
    <s:row r="153" spans="2:15" s="74" customFormat="1">
      <s:c r="B153" s="28"/>
      <s:c r="C153" s="28"/>
      <s:c r="D153" s="28"/>
      <s:c r="E153" s="28"/>
      <s:c r="F153" s="28"/>
      <s:c r="G153" s="28"/>
      <s:c r="H153" s="28"/>
      <s:c r="I153" s="28"/>
      <s:c r="J153" s="28"/>
      <s:c r="K153" s="28"/>
      <s:c r="L153" s="28"/>
      <s:c r="M153" s="28"/>
      <s:c r="N153" s="28"/>
      <s:c r="O153" s="28"/>
    </s:row>
    <s:row r="154" spans="2:15" s="74" customFormat="1">
      <s:c r="B154" s="28"/>
      <s:c r="C154" s="28"/>
      <s:c r="D154" s="28"/>
      <s:c r="E154" s="28"/>
      <s:c r="F154" s="28"/>
      <s:c r="G154" s="28"/>
      <s:c r="H154" s="28"/>
      <s:c r="I154" s="28"/>
      <s:c r="J154" s="28"/>
      <s:c r="K154" s="28"/>
      <s:c r="L154" s="28"/>
      <s:c r="M154" s="28"/>
      <s:c r="N154" s="28"/>
      <s:c r="O154" s="28"/>
    </s:row>
  </s:sheetData>
  <s:sheetProtection insertRows="0" deleteRows="0"/>
  <s:mergeCells count="32">
    <s:mergeCell ref="B13:D13"/>
    <s:mergeCell ref="B3:D4"/>
    <s:mergeCell ref="E3:L3"/>
    <s:mergeCell ref="M3:M4"/>
    <s:mergeCell ref="B5:D5"/>
    <s:mergeCell ref="B6:D6"/>
    <s:mergeCell ref="B7:D7"/>
    <s:mergeCell ref="B8:D8"/>
    <s:mergeCell ref="B9:D9"/>
    <s:mergeCell ref="B10:D10"/>
    <s:mergeCell ref="B11:D11"/>
    <s:mergeCell ref="B12:D12"/>
    <s:mergeCell ref="B25:D25"/>
    <s:mergeCell ref="B14:D14"/>
    <s:mergeCell ref="B15:D15"/>
    <s:mergeCell ref="B16:D16"/>
    <s:mergeCell ref="B17:D17"/>
    <s:mergeCell ref="B18:D18"/>
    <s:mergeCell ref="B19:D19"/>
    <s:mergeCell ref="B20:D20"/>
    <s:mergeCell ref="B21:D21"/>
    <s:mergeCell ref="B22:D22"/>
    <s:mergeCell ref="B23:D23"/>
    <s:mergeCell ref="B24:D24"/>
    <s:mergeCell ref="B32:D32"/>
    <s:mergeCell ref="B33:D33"/>
    <s:mergeCell ref="B26:D26"/>
    <s:mergeCell ref="B27:D27"/>
    <s:mergeCell ref="B28:D28"/>
    <s:mergeCell ref="B29:D29"/>
    <s:mergeCell ref="B30:D30"/>
    <s:mergeCell ref="B31:D31"/>
  </s:mergeCells>
  <s:conditionalFormatting sqref="M3 E5:M8 M10:M12">
    <s:cfRule type="cellIs" dxfId="4" priority="4" stopIfTrue="1" operator="lessThan">
      <s:formula>0</s:formula>
    </s:cfRule>
  </s:conditionalFormatting>
  <s:conditionalFormatting sqref="M15:M17">
    <s:cfRule type="cellIs" dxfId="3" priority="3" stopIfTrue="1" operator="lessThan">
      <s:formula>0</s:formula>
    </s:cfRule>
  </s:conditionalFormatting>
  <s:conditionalFormatting sqref="M19:M21">
    <s:cfRule type="cellIs" dxfId="2" priority="2" stopIfTrue="1" operator="lessThan">
      <s:formula>0</s:formula>
    </s:cfRule>
  </s:conditionalFormatting>
  <s:conditionalFormatting sqref="M23:M25">
    <s:cfRule type="cellIs" dxfId="1" priority="1" stopIfTrue="1" operator="lessThan">
      <s:formula>0</s:formula>
    </s:cfRule>
  </s:conditionalFormatting>
  <s:conditionalFormatting sqref="O3:T5 N3:N33 O14:T33 I34:S34">
    <s:cfRule type="cellIs" dxfId="0" priority="14" stopIfTrue="1" operator="lessThan">
      <s:formula>0</s:formula>
    </s:cfRule>
  </s:conditionalFormatting>
  <s:dataValidations count="1">
    <s:dataValidation type="list" sqref="E4:L4" vyd:viewType="arrow" mc:Ignorable="vyd">
      <s:formula1>'Подразделения (ЦК.ЦФО.МВЗ)'!$C$3:$C$25</s:formula1>
    </s:dataValidation>
  </s:dataValidations>
  <s:pageMargins left="0.394" right="0.394" top="0.394" bottom="0.394" header="0.394" footer="0.394"/>
  <s:pageSetup paperSize="9" scale="69" orientation="portrait" horizontalDpi="204" verticalDpi="196"/>
  <s:extLst>
    <s:ext uri="{CCE6A557-97BC-4b89-ADB6-D9C93CAAB3DF}"/>
  </s:extLst>
</s:worksheet>
</file>

<file path=xl/worksheets/sheet11.xml><?xml version="1.0" encoding="utf-8"?>
<s:worksheet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mc:Ignorable="x14ac xr xr2 xr3" xr:uid="{1A9043AD-8AF1-084B-8DE9-937210AA9068}">
  <s:sheetPr>
    <s:tabColor rgb="FFDDDDDD"/>
  </s:sheetPr>
  <s:dimension ref="B1:H25"/>
  <s:sheetViews>
    <s:sheetView tabSelected="0" topLeftCell="C9" zoomScale="85" zoomScaleNormal="85" workbookViewId="0">
      <s:selection activeCell="F41" sqref="F41"/>
    </s:sheetView>
  </s:sheetViews>
  <s:sheetFormatPr defaultColWidth="8.777" defaultRowHeight="13.2"/>
  <s:cols>
    <s:col min="1" max="1" width="3.441" customWidth="1"/>
    <s:col min="2" max="2" width="49.777" style="183" bestFit="1" customWidth="1"/>
    <s:col min="3" max="3" width="71.664" bestFit="1" customWidth="1"/>
    <s:col min="4" max="4" width="4.109" customWidth="1"/>
    <s:col min="5" max="5" width="22.441" customWidth="1"/>
    <s:col min="6" max="6" width="46.441" bestFit="1" customWidth="1"/>
    <s:col min="7" max="7" width="47.109" customWidth="1"/>
    <s:col min="8" max="8" width="51.109" bestFit="1" customWidth="1"/>
  </s:cols>
  <s:sheetData>
    <s:row r="1" spans="2:8" ht="13.8" thickBot="1"/>
    <s:row r="2" spans="2:8" s="183" customFormat="1" ht="40.2" thickBot="1">
      <s:c r="B2" s="292" t="s">
        <s:v>125</s:v>
      </s:c>
      <s:c r="C2" s="293" t="s">
        <s:v>122</s:v>
      </s:c>
      <s:c r="E2" s="406" t="s">
        <s:v>200</s:v>
      </s:c>
      <s:c r="F2" s="407" t="s">
        <s:v>201</s:v>
      </s:c>
      <s:c r="G2" s="407" t="s">
        <s:v>202</s:v>
      </s:c>
      <s:c r="H2" s="408" t="s">
        <s:v>203</s:v>
      </s:c>
    </s:row>
    <s:row r="3" spans="2:8">
      <s:c r="B3" s="409" t="s">
        <s:v>123</s:v>
      </s:c>
      <s:c r="C3" s="291" t="s">
        <s:v>133</s:v>
      </s:c>
      <s:c r="E3" s="410" t="s">
        <s:v>204</s:v>
      </s:c>
      <s:c r="F3" s="411" t="s">
        <s:v>123</s:v>
      </s:c>
      <s:c r="G3" s="411" t="s">
        <s:v>205</s:v>
      </s:c>
      <s:c r="H3" s="412"/>
    </s:row>
    <s:row r="4" spans="2:8">
      <s:c r="B4" s="413" t="s">
        <s:v>123</s:v>
      </s:c>
      <s:c r="C4" s="287" t="s">
        <s:v>132</s:v>
      </s:c>
      <s:c r="E4" s="414" t="s">
        <s:v>204</s:v>
      </s:c>
      <s:c r="F4" s="415" t="s">
        <s:v>123</s:v>
      </s:c>
      <s:c r="G4" s="415" t="s">
        <s:v>206</s:v>
      </s:c>
      <s:c r="H4" s="416"/>
    </s:row>
    <s:row r="5" spans="2:8">
      <s:c r="B5" s="413" t="s">
        <s:v>123</s:v>
      </s:c>
      <s:c r="C5" s="287" t="s">
        <s:v>135</s:v>
      </s:c>
      <s:c r="E5" s="414" t="s">
        <s:v>204</s:v>
      </s:c>
      <s:c r="F5" s="415" t="s">
        <s:v>123</s:v>
      </s:c>
      <s:c r="G5" s="415" t="s">
        <s:v>207</s:v>
      </s:c>
      <s:c r="H5" s="416"/>
    </s:row>
    <s:row r="6" spans="2:8">
      <s:c r="B6" s="413" t="s">
        <s:v>123</s:v>
      </s:c>
      <s:c r="C6" s="287" t="s">
        <s:v>134</s:v>
      </s:c>
      <s:c r="E6" s="414" t="s">
        <s:v>204</s:v>
      </s:c>
      <s:c r="F6" s="415" t="s">
        <s:v>123</s:v>
      </s:c>
      <s:c r="G6" s="415" t="s">
        <s:v>208</s:v>
      </s:c>
      <s:c r="H6" s="416"/>
    </s:row>
    <s:row r="7" spans="2:8">
      <s:c r="B7" s="413" t="s">
        <s:v>123</s:v>
      </s:c>
      <s:c r="C7" s="287" t="s">
        <s:v>131</s:v>
      </s:c>
      <s:c r="E7" s="414" t="s">
        <s:v>204</s:v>
      </s:c>
      <s:c r="F7" s="415" t="s">
        <s:v>123</s:v>
      </s:c>
      <s:c r="G7" s="415" t="s">
        <s:v>209</s:v>
      </s:c>
      <s:c r="H7" s="416"/>
    </s:row>
    <s:row r="8" spans="2:8" ht="13.8" thickBot="1">
      <s:c r="B8" s="417" t="s">
        <s:v>123</s:v>
      </s:c>
      <s:c r="C8" s="289" t="s">
        <s:v>130</s:v>
      </s:c>
      <s:c r="E8" s="418" t="s">
        <s:v>204</s:v>
      </s:c>
      <s:c r="F8" s="419" t="s">
        <s:v>123</s:v>
      </s:c>
      <s:c r="G8" s="419" t="s">
        <s:v>210</s:v>
      </s:c>
      <s:c r="H8" s="420"/>
    </s:row>
    <s:row r="9" spans="2:8">
      <s:c r="B9" s="413" t="s">
        <s:v>124</s:v>
      </s:c>
      <s:c r="C9" s="287" t="s">
        <s:v>126</s:v>
      </s:c>
      <s:c r="E9" s="410" t="s">
        <s:v>204</s:v>
      </s:c>
      <s:c r="F9" s="411" t="s">
        <s:v>124</s:v>
      </s:c>
      <s:c r="G9" s="411" t="s">
        <s:v>211</s:v>
      </s:c>
      <s:c r="H9" s="412" t="s">
        <s:v>212</s:v>
      </s:c>
    </s:row>
    <s:row r="10" spans="2:8">
      <s:c r="B10" s="413" t="s">
        <s:v>124</s:v>
      </s:c>
      <s:c r="C10" s="287" t="s">
        <s:v>127</s:v>
      </s:c>
      <s:c r="E10" s="414" t="s">
        <s:v>204</s:v>
      </s:c>
      <s:c r="F10" s="415" t="s">
        <s:v>124</s:v>
      </s:c>
      <s:c r="G10" s="415" t="s">
        <s:v>211</s:v>
      </s:c>
      <s:c r="H10" s="416" t="s">
        <s:v>213</s:v>
      </s:c>
    </s:row>
    <s:row r="11" spans="2:8">
      <s:c r="B11" s="413" t="s">
        <s:v>124</s:v>
      </s:c>
      <s:c r="C11" s="287" t="s">
        <s:v>128</s:v>
      </s:c>
      <s:c r="E11" s="414" t="s">
        <s:v>204</s:v>
      </s:c>
      <s:c r="F11" s="415" t="s">
        <s:v>124</s:v>
      </s:c>
      <s:c r="G11" s="415" t="s">
        <s:v>211</s:v>
      </s:c>
      <s:c r="H11" s="416" t="s">
        <s:v>214</s:v>
      </s:c>
    </s:row>
    <s:row r="12" spans="2:8" ht="13.8" thickBot="1">
      <s:c r="B12" s="417" t="s">
        <s:v>124</s:v>
      </s:c>
      <s:c r="C12" s="289" t="s">
        <s:v>129</s:v>
      </s:c>
      <s:c r="E12" s="418" t="s">
        <s:v>204</s:v>
      </s:c>
      <s:c r="F12" s="419" t="s">
        <s:v>124</s:v>
      </s:c>
      <s:c r="G12" s="419" t="s">
        <s:v>211</s:v>
      </s:c>
      <s:c r="H12" s="420" t="s">
        <s:v>129</s:v>
      </s:c>
    </s:row>
    <s:row r="13" spans="2:8" ht="13.8" thickBot="1">
      <s:c r="B13" s="421" t="s">
        <s:v>153</s:v>
      </s:c>
      <s:c r="C13" s="302" t="s">
        <s:v>153</s:v>
      </s:c>
      <s:c r="E13" s="422" t="s">
        <s:v>204</s:v>
      </s:c>
      <s:c r="F13" s="423" t="s">
        <s:v>153</s:v>
      </s:c>
      <s:c r="G13" s="424"/>
      <s:c r="H13" s="425"/>
    </s:row>
    <s:row r="14" spans="2:8">
      <s:c r="B14" s="409" t="s">
        <s:v>138</s:v>
      </s:c>
      <s:c r="C14" s="291" t="s">
        <s:v>154</s:v>
      </s:c>
      <s:c r="E14" s="410" t="s">
        <s:v>204</s:v>
      </s:c>
      <s:c r="F14" s="411" t="s">
        <s:v>215</s:v>
      </s:c>
      <s:c r="G14" s="411" t="s">
        <s:v>216</s:v>
      </s:c>
      <s:c r="H14" s="412" t="s">
        <s:v>217</s:v>
      </s:c>
    </s:row>
    <s:row r="15" spans="2:8" ht="13.8" thickBot="1">
      <s:c r="B15" s="426" t="s">
        <s:v>138</s:v>
      </s:c>
      <s:c r="C15" s="300" t="s">
        <s:v>155</s:v>
      </s:c>
      <s:c r="E15" s="418" t="s">
        <s:v>204</s:v>
      </s:c>
      <s:c r="F15" s="419" t="s">
        <s:v>215</s:v>
      </s:c>
      <s:c r="G15" s="419" t="s">
        <s:v>216</s:v>
      </s:c>
      <s:c r="H15" s="420" t="s">
        <s:v>218</s:v>
      </s:c>
    </s:row>
    <s:row r="16" spans="2:8">
      <s:c r="B16" s="409" t="s">
        <s:v>138</s:v>
      </s:c>
      <s:c r="C16" s="291" t="s">
        <s:v>139</s:v>
      </s:c>
      <s:c r="E16" s="410" t="s">
        <s:v>204</s:v>
      </s:c>
      <s:c r="F16" s="411" t="s">
        <s:v>215</s:v>
      </s:c>
      <s:c r="G16" s="411" t="s">
        <s:v>219</s:v>
      </s:c>
      <s:c r="H16" s="412" t="s">
        <s:v>220</s:v>
      </s:c>
    </s:row>
    <s:row r="17" spans="2:8">
      <s:c r="B17" s="413" t="s">
        <s:v>138</s:v>
      </s:c>
      <s:c r="C17" s="287" t="s">
        <s:v>140</s:v>
      </s:c>
      <s:c r="E17" s="414" t="s">
        <s:v>204</s:v>
      </s:c>
      <s:c r="F17" s="415" t="s">
        <s:v>215</s:v>
      </s:c>
      <s:c r="G17" s="415" t="s">
        <s:v>219</s:v>
      </s:c>
      <s:c r="H17" s="416" t="s">
        <s:v>221</s:v>
      </s:c>
    </s:row>
    <s:row r="18" spans="2:8">
      <s:c r="B18" s="413" t="s">
        <s:v>138</s:v>
      </s:c>
      <s:c r="C18" s="287" t="s">
        <s:v>141</s:v>
      </s:c>
      <s:c r="E18" s="414" t="s">
        <s:v>204</s:v>
      </s:c>
      <s:c r="F18" s="415" t="s">
        <s:v>215</s:v>
      </s:c>
      <s:c r="G18" s="415" t="s">
        <s:v>219</s:v>
      </s:c>
      <s:c r="H18" s="416" t="s">
        <s:v>222</s:v>
      </s:c>
    </s:row>
    <s:row r="19" spans="2:8">
      <s:c r="B19" s="413" t="s">
        <s:v>138</s:v>
      </s:c>
      <s:c r="C19" s="287" t="s">
        <s:v>142</s:v>
      </s:c>
      <s:c r="E19" s="414" t="s">
        <s:v>204</s:v>
      </s:c>
      <s:c r="F19" s="415" t="s">
        <s:v>215</s:v>
      </s:c>
      <s:c r="G19" s="415" t="s">
        <s:v>219</s:v>
      </s:c>
      <s:c r="H19" s="416" t="s">
        <s:v>223</s:v>
      </s:c>
    </s:row>
    <s:row r="20" spans="2:8">
      <s:c r="B20" s="413" t="s">
        <s:v>138</s:v>
      </s:c>
      <s:c r="C20" s="287" t="s">
        <s:v>143</s:v>
      </s:c>
      <s:c r="E20" s="414" t="s">
        <s:v>204</s:v>
      </s:c>
      <s:c r="F20" s="415" t="s">
        <s:v>215</s:v>
      </s:c>
      <s:c r="G20" s="415" t="s">
        <s:v>219</s:v>
      </s:c>
      <s:c r="H20" s="416" t="s">
        <s:v>224</s:v>
      </s:c>
    </s:row>
    <s:row r="21" spans="2:8">
      <s:c r="B21" s="413" t="s">
        <s:v>138</s:v>
      </s:c>
      <s:c r="C21" s="287" t="s">
        <s:v>144</s:v>
      </s:c>
      <s:c r="E21" s="414" t="s">
        <s:v>204</s:v>
      </s:c>
      <s:c r="F21" s="415" t="s">
        <s:v>215</s:v>
      </s:c>
      <s:c r="G21" s="415" t="s">
        <s:v>219</s:v>
      </s:c>
      <s:c r="H21" s="416" t="s">
        <s:v>225</s:v>
      </s:c>
    </s:row>
    <s:row r="22" spans="2:8">
      <s:c r="B22" s="413" t="s">
        <s:v>138</s:v>
      </s:c>
      <s:c r="C22" s="287" t="s">
        <s:v>145</s:v>
      </s:c>
      <s:c r="E22" s="414" t="s">
        <s:v>204</s:v>
      </s:c>
      <s:c r="F22" s="415" t="s">
        <s:v>215</s:v>
      </s:c>
      <s:c r="G22" s="415" t="s">
        <s:v>219</s:v>
      </s:c>
      <s:c r="H22" s="416" t="s">
        <s:v>226</s:v>
      </s:c>
    </s:row>
    <s:row r="23" spans="2:8">
      <s:c r="B23" s="413" t="s">
        <s:v>138</s:v>
      </s:c>
      <s:c r="C23" s="287" t="s">
        <s:v>146</s:v>
      </s:c>
      <s:c r="E23" s="414" t="s">
        <s:v>204</s:v>
      </s:c>
      <s:c r="F23" s="415" t="s">
        <s:v>215</s:v>
      </s:c>
      <s:c r="G23" s="415" t="s">
        <s:v>219</s:v>
      </s:c>
      <s:c r="H23" s="416" t="s">
        <s:v>227</s:v>
      </s:c>
    </s:row>
    <s:row r="24" spans="2:8" ht="13.8" thickBot="1">
      <s:c r="B24" s="417" t="s">
        <s:v>138</s:v>
      </s:c>
      <s:c r="C24" s="289" t="s">
        <s:v>147</s:v>
      </s:c>
      <s:c r="E24" s="418" t="s">
        <s:v>204</s:v>
      </s:c>
      <s:c r="F24" s="419" t="s">
        <s:v>215</s:v>
      </s:c>
      <s:c r="G24" s="419" t="s">
        <s:v>219</s:v>
      </s:c>
      <s:c r="H24" s="420" t="s">
        <s:v>147</s:v>
      </s:c>
    </s:row>
    <s:row r="25" spans="2:8" ht="13.8" thickBot="1">
      <s:c r="B25" s="417" t="s">
        <s:v>156</s:v>
      </s:c>
      <s:c r="C25" s="289" t="s">
        <s:v>156</s:v>
      </s:c>
      <s:c r="E25" s="422" t="s">
        <s:v>204</s:v>
      </s:c>
      <s:c r="F25" s="423" t="s">
        <s:v>228</s:v>
      </s:c>
      <s:c r="G25" s="424"/>
      <s:c r="H25" s="425"/>
    </s:row>
  </s:sheetData>
  <s:pageMargins left="0.7" right="0.7" top="0.75" bottom="0.75" header="0.3" footer="0.3"/>
</s:worksheet>
</file>

<file path=xl/worksheets/sheet12.xml><?xml version="1.0" encoding="utf-8"?>
<s:worksheet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mc:Ignorable="x14ac xr xr2 xr3" xr:uid="{00000000-0001-0000-0500-000000000000}">
  <s:sheetPr codeName="Sheet1">
    <s:tabColor rgb="FFDDDDDD"/>
  </s:sheetPr>
  <s:dimension ref="A1:A13"/>
  <s:sheetViews>
    <s:sheetView tabSelected="0" workbookViewId="0">
      <s:selection activeCell="C11" sqref="C11"/>
    </s:sheetView>
  </s:sheetViews>
  <s:sheetFormatPr defaultColWidth="8.777" defaultRowHeight="13.2"/>
  <s:cols>
    <s:col min="1" max="1" width="12.777" customWidth="1"/>
  </s:cols>
  <s:sheetData>
    <s:row r="1" spans="1:1">
      <s:c r="A1" s="272" t="s">
        <s:v>121</s:v>
      </s:c>
    </s:row>
    <s:row r="2" spans="1:1">
      <s:c r="A2" s="273">
        <s:f>DATEVALUE("01/01/"&amp;YEAR(ОПУ!B1))</s:f>
        <s:v>1</s:v>
      </s:c>
    </s:row>
    <s:row r="3">
      <s:c r="A3" s="273">
        <s:f validation_="true">EDATE(A2,1)</s:f>
        <s:v>32</s:v>
      </s:c>
    </s:row>
    <s:row r="4">
      <s:c r="A4" s="273">
        <s:f validation_="true">EDATE(A3,1)</s:f>
        <s:v>61</s:v>
      </s:c>
    </s:row>
    <s:row r="5">
      <s:c r="A5" s="273">
        <s:f validation_="true">EDATE(A4,1)</s:f>
        <s:v>92</s:v>
      </s:c>
    </s:row>
    <s:row r="6">
      <s:c r="A6" s="273">
        <s:f validation_="true">EDATE(A5,1)</s:f>
        <s:v>122</s:v>
      </s:c>
    </s:row>
    <s:row r="7">
      <s:c r="A7" s="273">
        <s:f validation_="true">EDATE(A6,1)</s:f>
        <s:v>153</s:v>
      </s:c>
    </s:row>
    <s:row r="8">
      <s:c r="A8" s="273">
        <s:f validation_="true">EDATE(A7,1)</s:f>
        <s:v>183</s:v>
      </s:c>
    </s:row>
    <s:row r="9">
      <s:c r="A9" s="273">
        <s:f validation_="true">EDATE(A8,1)</s:f>
        <s:v>214</s:v>
      </s:c>
    </s:row>
    <s:row r="10">
      <s:c r="A10" s="273">
        <s:f validation_="true">EDATE(A9,1)</s:f>
        <s:v>245</s:v>
      </s:c>
    </s:row>
    <s:row r="11">
      <s:c r="A11" s="273">
        <s:f validation_="true">EDATE(A10,1)</s:f>
        <s:v>275</s:v>
      </s:c>
    </s:row>
    <s:row r="12">
      <s:c r="A12" s="273">
        <s:f validation_="true">EDATE(A11,1)</s:f>
        <s:v>306</s:v>
      </s:c>
    </s:row>
    <s:row r="13">
      <s:c r="A13" s="273">
        <s:f validation_="true">EDATE(A12,1)</s:f>
        <s:v>336</s:v>
      </s:c>
    </s:row>
  </s:sheetData>
  <s:pageMargins left="0.7" right="0.7" top="0.75" bottom="0.75" header="0.3" footer="0.3"/>
  <s:pageSetup paperSize="9" orientation="portrait"/>
</s:worksheet>
</file>

<file path=xl/worksheets/sheet13.xml><?xml version="1.0" encoding="utf-8"?>
<s:worksheet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mc:Ignorable="x14ac xr xr2 xr3" xr:uid="{ED029111-74D8-45A7-9DCF-47B0B704C7F6}">
  <s:sheetPr>
    <s:tabColor rgb="FFDDDDDD"/>
  </s:sheetPr>
  <s:dimension ref="B1:C25"/>
  <s:sheetViews>
    <s:sheetView tabSelected="0" workbookViewId="0"/>
  </s:sheetViews>
  <s:sheetFormatPr defaultColWidth="8.777" defaultRowHeight="13.2"/>
  <s:cols>
    <s:col min="2" max="2" width="49.777" bestFit="1" customWidth="1"/>
    <s:col min="3" max="3" width="71.664" bestFit="1" customWidth="1"/>
  </s:cols>
  <s:sheetData>
    <s:row r="1" spans="2:3" ht="13.8" thickBot="1"/>
    <s:row r="2" spans="2:3" ht="13.8" thickBot="1">
      <s:c r="B2" s="292" t="s">
        <s:v>125</s:v>
      </s:c>
      <s:c r="C2" s="293" t="s">
        <s:v>122</s:v>
      </s:c>
    </s:row>
    <s:row r="3" spans="2:3">
      <s:c r="B3" s="290" t="s">
        <s:v>123</s:v>
      </s:c>
      <s:c r="C3" s="291" t="s">
        <s:v>133</s:v>
      </s:c>
    </s:row>
    <s:row r="4" spans="2:3">
      <s:c r="B4" s="286" t="s">
        <s:v>123</s:v>
      </s:c>
      <s:c r="C4" s="287" t="s">
        <s:v>132</s:v>
      </s:c>
    </s:row>
    <s:row r="5" spans="2:3">
      <s:c r="B5" s="286" t="s">
        <s:v>123</s:v>
      </s:c>
      <s:c r="C5" s="287" t="s">
        <s:v>135</s:v>
      </s:c>
    </s:row>
    <s:row r="6" spans="2:3">
      <s:c r="B6" s="286" t="s">
        <s:v>123</s:v>
      </s:c>
      <s:c r="C6" s="287" t="s">
        <s:v>134</s:v>
      </s:c>
    </s:row>
    <s:row r="7" spans="2:3">
      <s:c r="B7" s="286" t="s">
        <s:v>123</s:v>
      </s:c>
      <s:c r="C7" s="287" t="s">
        <s:v>131</s:v>
      </s:c>
    </s:row>
    <s:row r="8" spans="2:3" ht="13.8" thickBot="1">
      <s:c r="B8" s="288" t="s">
        <s:v>123</s:v>
      </s:c>
      <s:c r="C8" s="289" t="s">
        <s:v>130</s:v>
      </s:c>
    </s:row>
    <s:row r="9" spans="2:3">
      <s:c r="B9" s="286" t="s">
        <s:v>124</s:v>
      </s:c>
      <s:c r="C9" s="287" t="s">
        <s:v>126</s:v>
      </s:c>
    </s:row>
    <s:row r="10" spans="2:3">
      <s:c r="B10" s="286" t="s">
        <s:v>124</s:v>
      </s:c>
      <s:c r="C10" s="287" t="s">
        <s:v>127</s:v>
      </s:c>
    </s:row>
    <s:row r="11" spans="2:3">
      <s:c r="B11" s="286" t="s">
        <s:v>124</s:v>
      </s:c>
      <s:c r="C11" s="287" t="s">
        <s:v>128</s:v>
      </s:c>
    </s:row>
    <s:row r="12" spans="2:3" ht="13.8" thickBot="1">
      <s:c r="B12" s="288" t="s">
        <s:v>124</s:v>
      </s:c>
      <s:c r="C12" s="289" t="s">
        <s:v>129</s:v>
      </s:c>
    </s:row>
    <s:row r="13" spans="2:3" ht="13.8" thickBot="1">
      <s:c r="B13" s="301" t="s">
        <s:v>153</s:v>
      </s:c>
      <s:c r="C13" s="302" t="s">
        <s:v>153</s:v>
      </s:c>
    </s:row>
    <s:row r="14" spans="2:3">
      <s:c r="B14" s="290" t="s">
        <s:v>138</s:v>
      </s:c>
      <s:c r="C14" s="291" t="s">
        <s:v>154</s:v>
      </s:c>
    </s:row>
    <s:row r="15" spans="2:3" ht="13.8" thickBot="1">
      <s:c r="B15" s="299" t="s">
        <s:v>138</s:v>
      </s:c>
      <s:c r="C15" s="300" t="s">
        <s:v>155</s:v>
      </s:c>
    </s:row>
    <s:row r="16" spans="2:3">
      <s:c r="B16" s="290" t="s">
        <s:v>138</s:v>
      </s:c>
      <s:c r="C16" s="291" t="s">
        <s:v>139</s:v>
      </s:c>
    </s:row>
    <s:row r="17" spans="2:3">
      <s:c r="B17" s="286" t="s">
        <s:v>138</s:v>
      </s:c>
      <s:c r="C17" s="287" t="s">
        <s:v>140</s:v>
      </s:c>
    </s:row>
    <s:row r="18" spans="2:3">
      <s:c r="B18" s="286" t="s">
        <s:v>138</s:v>
      </s:c>
      <s:c r="C18" s="287" t="s">
        <s:v>141</s:v>
      </s:c>
    </s:row>
    <s:row r="19" spans="2:3">
      <s:c r="B19" s="286" t="s">
        <s:v>138</s:v>
      </s:c>
      <s:c r="C19" s="287" t="s">
        <s:v>142</s:v>
      </s:c>
    </s:row>
    <s:row r="20" spans="2:3">
      <s:c r="B20" s="286" t="s">
        <s:v>138</s:v>
      </s:c>
      <s:c r="C20" s="287" t="s">
        <s:v>143</s:v>
      </s:c>
    </s:row>
    <s:row r="21" spans="2:3">
      <s:c r="B21" s="286" t="s">
        <s:v>138</s:v>
      </s:c>
      <s:c r="C21" s="287" t="s">
        <s:v>144</s:v>
      </s:c>
    </s:row>
    <s:row r="22" spans="2:3">
      <s:c r="B22" s="286" t="s">
        <s:v>138</s:v>
      </s:c>
      <s:c r="C22" s="287" t="s">
        <s:v>145</s:v>
      </s:c>
    </s:row>
    <s:row r="23" spans="2:3">
      <s:c r="B23" s="286" t="s">
        <s:v>138</s:v>
      </s:c>
      <s:c r="C23" s="287" t="s">
        <s:v>146</s:v>
      </s:c>
    </s:row>
    <s:row r="24" spans="2:3" ht="13.8" thickBot="1">
      <s:c r="B24" s="288" t="s">
        <s:v>138</s:v>
      </s:c>
      <s:c r="C24" s="289" t="s">
        <s:v>147</s:v>
      </s:c>
    </s:row>
    <s:row r="25" spans="2:3" ht="13.8" thickBot="1">
      <s:c r="B25" s="288" t="s">
        <s:v>156</s:v>
      </s:c>
      <s:c r="C25" s="289" t="s">
        <s:v>156</s:v>
      </s:c>
    </s:row>
  </s:sheetData>
  <s:pageMargins left="0.7" right="0.7" top="0.75" bottom="0.75" header="0.3" footer="0.3"/>
</s:worksheet>
</file>

<file path=customXml/_rels/item1.xml.rels><?xml version="1.0" 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unk6:properties xmlns:unk6="http://schemas.microsoft.com/office/2006/metadata/properties">
  <documentManagement/>
</unk6:properties>
</file>

<file path=customXml/item2.xml><?xml version="1.0" encoding="utf-8"?>
<unk5:FormTemplates xmlns:unk5="http://schemas.microsoft.com/sharepoint/v3/contenttype/forms">
  <unk5:Display>DocumentLibraryForm</unk5:Display>
  <unk5:Edit>DocumentLibraryForm</unk5:Edit>
  <unk5:New>DocumentLibraryForm</unk5:New>
</unk5:FormTemplates>
</file>

<file path=customXml/item3.xml><?xml version="1.0" encoding="utf-8"?>
<unk3:contentTypeSchema xmlns:xs="http://www.w3.org/2001/XMLSchema" xmlns:unk4="http://schemas.microsoft.com/office/2006/metadata/properties/metaAttributes" xmlns:unk3="http://schemas.microsoft.com/office/2006/metadata/contentType" unk3:_="" unk4:_="" unk4:contentTypeName="Document" unk4:contentTypeID="0x01010045BFE38D7A451647B1BDCBC05B82F2C6" unk4:contentTypeVersion="0" unk4:contentTypeDescription="Create a new document." unk4:contentTypeScope="" unk4:versionID="b84f989f185170d966298f2fc1b02a22">
  <xs:schema targetNamespace="http://schemas.microsoft.com/office/2006/metadata/properties" unk4:root="true" unk4:fieldsID="1b05d82d297216baf5b26c55225140df">
    <xs:element name="properties">
      <xs:complexType>
        <xs:sequence>
          <xs:element name="documentManagement">
            <xs:complexType>
              <xs:all/>
            </xs:complexType>
          </xs:element>
        </xs:sequence>
      </xs:complexType>
    </xs:element>
  </xs:schema>
  <xs:schema targetNamespace="http://schemas.openxmlformats.org/package/2006/metadata/core-properties" elementFormDefault="qualified" attributeFormDefault="unqualified" blockDefault="#all">
    <xs:import namespace="http://purl.org/dc/elements/1.1/" schemaLocation="http://dublincore.org/schemas/xmls/qdc/2003/04/02/dc.xsd"/>
    <xs:import namespace="http://purl.org/dc/terms/" schemaLocation="http://dublincore.org/schemas/xmls/qdc/2003/04/02/dcterms.xsd"/>
    <xs:element name="coreProperties" type="CT_coreProperties"/>
    <xs:complexType name="CT_coreProperties">
      <xs:all>
        <xs:element ref="dc:creator" minOccurs="0" maxOccurs="1"/>
        <xs:element ref="dcterms:created" minOccurs="0" maxOccurs="1"/>
        <xs:element ref="dc:identifier" minOccurs="0" maxOccurs="1"/>
        <xs:element name="contentType" minOccurs="0" maxOccurs="1" type="xsd:string" unk4:index="0" unk4:displayName="Content Type"/>
        <xs:element ref="dc:title" minOccurs="0" maxOccurs="1" unk4:index="4" unk4:displayName="Title"/>
        <xs:element ref="dc:subject" minOccurs="0" maxOccurs="1"/>
        <xs:element ref="dc:description" minOccurs="0" maxOccurs="1"/>
        <xs:element name="keywords" minOccurs="0" maxOccurs="1" type="xsd:string"/>
        <xs:element ref="dc:language" minOccurs="0" maxOccurs="1"/>
        <xs:element name="category" minOccurs="0" maxOccurs="1" type="xsd:string"/>
        <xs:element name="version" minOccurs="0" maxOccurs="1" type="xsd:string"/>
        <xs:element name="revision" minOccurs="0" maxOccurs="1" type="xsd:string">
          <xs:annotation>
            <xs:documentation>
                        This value indicates the number of saves or revisions. The application is responsible for updating this value after each revision.
                    </xs:documentation>
          </xs:annotation>
        </xs:element>
        <xs:element name="lastModifiedBy" minOccurs="0" maxOccurs="1" type="xsd:string"/>
        <xs:element ref="dcterms:modified" minOccurs="0" maxOccurs="1"/>
        <xs:element name="contentStatus" minOccurs="0" maxOccurs="1" type="xsd:string"/>
      </xs:all>
    </xs:complexType>
  </xs:schema>
  <xs:schema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unk3:contentTypeSchema>
</file>

<file path=customXml/itemProps1.xml><?xml version="1.0" encoding="utf-8"?>
<customXml:datastoreItem xmlns:customXml="http://schemas.openxmlformats.org/officeDocument/2006/customXml" customXml:itemID="{6CE2E468-580C-4D7E-9F2D-27BA7FFE9B68}">
  <customXml:schemaRefs>
    <customXml:schemaRef customXml:uri="http://schemas.microsoft.com/office/2006/documentManagement/types"/>
    <customXml:schemaRef customXml:uri="http://schemas.openxmlformats.org/package/2006/metadata/core-properties"/>
    <customXml:schemaRef customXml:uri="http://purl.org/dc/dcmitype/"/>
    <customXml:schemaRef customXml:uri="http://purl.org/dc/elements/1.1/"/>
    <customXml:schemaRef customXml:uri="http://schemas.microsoft.com/office/2006/metadata/properties"/>
    <customXml:schemaRef customXml:uri="http://purl.org/dc/terms/"/>
    <customXml:schemaRef customXml:uri="http://schemas.microsoft.com/office/infopath/2007/PartnerControls"/>
    <customXml:schemaRef customXml:uri="http://www.w3.org/XML/1998/namespace"/>
  </customXml:schemaRefs>
</customXml:datastoreItem>
</file>

<file path=customXml/itemProps2.xml><?xml version="1.0" encoding="utf-8"?>
<customXml:datastoreItem xmlns:customXml="http://schemas.openxmlformats.org/officeDocument/2006/customXml" customXml:itemID="{0D1DA4D8-1E47-4FE3-A45E-50DD4882A8A7}">
  <customXml:schemaRefs>
    <customXml:schemaRef customXml:uri="http://schemas.microsoft.com/sharepoint/v3/contenttype/forms"/>
  </customXml:schemaRefs>
</customXml:datastoreItem>
</file>

<file path=customXml/itemProps3.xml><?xml version="1.0" encoding="utf-8"?>
<customXml:datastoreItem xmlns:customXml="http://schemas.openxmlformats.org/officeDocument/2006/customXml" customXml:itemID="{F3A86BB0-4CF5-49E6-A0FC-57F8C7FEEE93}">
  <customXml:schemaRefs>
    <customXml:schemaRef customXml:uri="http://schemas.microsoft.com/office/2006/metadata/contentType"/>
    <customXml:schemaRef customXml:uri="http://schemas.microsoft.com/office/2006/metadata/properties/metaAttributes"/>
    <customXml:schemaRef customXml:uri="http://www.w3.org/2001/XMLSchema"/>
    <customXml:schemaRef customXml:uri="http://schemas.microsoft.com/office/2006/metadata/properties"/>
    <customXml:schemaRef customXml:uri="http://schemas.openxmlformats.org/package/2006/metadata/core-properties"/>
    <customXml:schemaRef customXml:uri="http://purl.org/dc/elements/1.1/"/>
    <customXml:schemaRef customXml:uri="http://purl.org/dc/terms/"/>
    <customXml:schemaRef customXml:uri="http://schemas.microsoft.com/internal/obd"/>
    <customXml:schemaRef customXml:uri="http://schemas.microsoft.com/office/infopath/2007/PartnerControls"/>
  </customXml:schemaRefs>
</customXml:datastoreItem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5</vt:i4>
      </vt:variant>
    </vt:vector>
  </ep:HeadingPairs>
  <ep:TitlesOfParts>
    <vt:vector size="18" baseType="lpstr">
      <vt:lpstr>Ставки и расходы</vt:lpstr>
      <vt:lpstr>Калькулятор бюджета по этапам</vt:lpstr>
      <vt:lpstr>Опросник</vt:lpstr>
      <vt:lpstr>Проектные ограничения</vt:lpstr>
      <vt:lpstr>Калькулятор</vt:lpstr>
      <vt:lpstr>План</vt:lpstr>
      <vt:lpstr>Смета проекта</vt:lpstr>
      <vt:lpstr>Планирование ресурсов</vt:lpstr>
      <vt:lpstr>ОПУ</vt:lpstr>
      <vt:lpstr>Калькулятор бюджета по ЦФО</vt:lpstr>
      <vt:lpstr>Меппинг ЦФО на орг структуру</vt:lpstr>
      <vt:lpstr>Classifications</vt:lpstr>
      <vt:lpstr>Подразделения (ЦК.ЦФО.МВЗ)</vt:lpstr>
      <vt:lpstr>r_gradelist</vt:lpstr>
      <vt:lpstr>r_months</vt:lpstr>
      <vt:lpstr>r_period</vt:lpstr>
      <vt:lpstr>'Калькулятор бюджета по ЦФО'!Область_печати</vt:lpstr>
      <vt:lpstr>'Калькулятор бюджета по этапам'!Область_печати</vt:lpstr>
    </vt:vector>
  </ep:TitlesOfParts>
  <ep:Company>РБК</ep:Company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title/>
  <dc:subject/>
  <dc:creator>Александр Молодцов</dc:creator>
  <cp:lastModifiedBy>Осипов Алексей Владимирович</cp:lastModifiedBy>
  <cp:revision>3</cp:revision>
  <dcterms:created xsi:type="dcterms:W3CDTF">2002-12-01T11:59:47Z</dcterms:created>
  <dcterms:modified xsi:type="dcterms:W3CDTF">2025-09-25T07:58:01Z</dcterms:modified>
</cp:coreProperties>
</file>

<file path=docProps/custom.xml><?xml version="1.0" encoding="utf-8"?>
<customProperties:Properties xmlns:customProperties="http://schemas.openxmlformats.org/officeDocument/2006/custom-properties" xmlns:vt="http://schemas.openxmlformats.org/officeDocument/2006/docPropsVTypes">
  <customProperties:property fmtid="{D5CDD505-2E9C-101B-9397-08002B2CF9AE}" pid="2" name="ContentTypeId">
    <vt:lpwstr>0x01010045BFE38D7A451647B1BDCBC05B82F2C6</vt:lpwstr>
  </customProperties:property>
</customProperties:Properties>
</file>